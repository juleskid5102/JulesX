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filterPrivacy="1"/>
  <xr:revisionPtr revIDLastSave="0" documentId="13_ncr:1_{B324FC50-DE43-40DA-8CE4-05587B20D4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📋 Thông Tin" sheetId="1" r:id="rId1"/>
    <sheet name="📊 Bảng Giá" sheetId="10" r:id="rId2"/>
    <sheet name="Landing Page" sheetId="3" r:id="rId3"/>
    <sheet name="Web Giới Thiệu" sheetId="4" r:id="rId4"/>
    <sheet name="Web Doanh Nghiệp" sheetId="5" r:id="rId5"/>
    <sheet name="E-commerce" sheetId="6" r:id="rId6"/>
    <sheet name="Web App" sheetId="7" r:id="rId7"/>
    <sheet name="Booking" sheetId="8" r:id="rId8"/>
    <sheet name="Blog - Tạp Chí" sheetId="9" r:id="rId9"/>
    <sheet name="Hệ Số" sheetId="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5" l="1"/>
  <c r="E24" i="5" s="1"/>
  <c r="D59" i="9"/>
  <c r="E59" i="9" s="1"/>
  <c r="D58" i="9"/>
  <c r="E58" i="9" s="1"/>
  <c r="D56" i="9"/>
  <c r="E56" i="9" s="1"/>
  <c r="D55" i="9"/>
  <c r="E55" i="9" s="1"/>
  <c r="D54" i="9"/>
  <c r="E54" i="9" s="1"/>
  <c r="D53" i="9"/>
  <c r="E53" i="9" s="1"/>
  <c r="D52" i="9"/>
  <c r="E52" i="9" s="1"/>
  <c r="D51" i="9"/>
  <c r="E51" i="9" s="1"/>
  <c r="D50" i="9"/>
  <c r="E50" i="9" s="1"/>
  <c r="D49" i="9"/>
  <c r="E49" i="9" s="1"/>
  <c r="D48" i="9"/>
  <c r="E48" i="9" s="1"/>
  <c r="D47" i="9"/>
  <c r="E47" i="9" s="1"/>
  <c r="D45" i="9"/>
  <c r="E45" i="9" s="1"/>
  <c r="D44" i="9"/>
  <c r="E44" i="9" s="1"/>
  <c r="D43" i="9"/>
  <c r="E43" i="9" s="1"/>
  <c r="D42" i="9"/>
  <c r="E42" i="9" s="1"/>
  <c r="D41" i="9"/>
  <c r="E41" i="9" s="1"/>
  <c r="D40" i="9"/>
  <c r="E40" i="9" s="1"/>
  <c r="D39" i="9"/>
  <c r="E39" i="9" s="1"/>
  <c r="D38" i="9"/>
  <c r="E38" i="9" s="1"/>
  <c r="D37" i="9"/>
  <c r="E37" i="9" s="1"/>
  <c r="D36" i="9"/>
  <c r="E36" i="9" s="1"/>
  <c r="D35" i="9"/>
  <c r="E35" i="9" s="1"/>
  <c r="D33" i="9"/>
  <c r="E33" i="9" s="1"/>
  <c r="D32" i="9"/>
  <c r="E32" i="9" s="1"/>
  <c r="D31" i="9"/>
  <c r="E31" i="9" s="1"/>
  <c r="D29" i="9"/>
  <c r="E29" i="9" s="1"/>
  <c r="D28" i="9"/>
  <c r="E28" i="9" s="1"/>
  <c r="D27" i="9"/>
  <c r="E27" i="9" s="1"/>
  <c r="D25" i="9"/>
  <c r="E25" i="9" s="1"/>
  <c r="D24" i="9"/>
  <c r="E24" i="9" s="1"/>
  <c r="D23" i="9"/>
  <c r="E23" i="9" s="1"/>
  <c r="D21" i="9"/>
  <c r="E21" i="9" s="1"/>
  <c r="D20" i="9"/>
  <c r="E20" i="9" s="1"/>
  <c r="D19" i="9"/>
  <c r="E19" i="9" s="1"/>
  <c r="D18" i="9"/>
  <c r="E18" i="9" s="1"/>
  <c r="D17" i="9"/>
  <c r="E17" i="9" s="1"/>
  <c r="D16" i="9"/>
  <c r="E16" i="9" s="1"/>
  <c r="D15" i="9"/>
  <c r="E15" i="9" s="1"/>
  <c r="D14" i="9"/>
  <c r="E14" i="9" s="1"/>
  <c r="D12" i="9"/>
  <c r="E12" i="9" s="1"/>
  <c r="D11" i="9"/>
  <c r="E11" i="9" s="1"/>
  <c r="D10" i="9"/>
  <c r="E10" i="9" s="1"/>
  <c r="D9" i="9"/>
  <c r="E9" i="9" s="1"/>
  <c r="D8" i="9"/>
  <c r="E8" i="9" s="1"/>
  <c r="D7" i="9"/>
  <c r="E7" i="9" s="1"/>
  <c r="D6" i="9"/>
  <c r="E6" i="9" s="1"/>
  <c r="D5" i="9"/>
  <c r="E5" i="9" s="1"/>
  <c r="D73" i="8"/>
  <c r="E73" i="8" s="1"/>
  <c r="D72" i="8"/>
  <c r="E72" i="8" s="1"/>
  <c r="D71" i="8"/>
  <c r="E71" i="8" s="1"/>
  <c r="D70" i="8"/>
  <c r="E70" i="8" s="1"/>
  <c r="D68" i="8"/>
  <c r="E68" i="8" s="1"/>
  <c r="D67" i="8"/>
  <c r="E67" i="8" s="1"/>
  <c r="D66" i="8"/>
  <c r="E66" i="8" s="1"/>
  <c r="D65" i="8"/>
  <c r="E65" i="8" s="1"/>
  <c r="D64" i="8"/>
  <c r="E64" i="8" s="1"/>
  <c r="D63" i="8"/>
  <c r="E63" i="8" s="1"/>
  <c r="D62" i="8"/>
  <c r="E62" i="8" s="1"/>
  <c r="D61" i="8"/>
  <c r="E61" i="8" s="1"/>
  <c r="D60" i="8"/>
  <c r="E60" i="8" s="1"/>
  <c r="D59" i="8"/>
  <c r="E59" i="8" s="1"/>
  <c r="D57" i="8"/>
  <c r="E57" i="8" s="1"/>
  <c r="D56" i="8"/>
  <c r="E56" i="8" s="1"/>
  <c r="D55" i="8"/>
  <c r="E55" i="8" s="1"/>
  <c r="D54" i="8"/>
  <c r="E54" i="8" s="1"/>
  <c r="D53" i="8"/>
  <c r="E53" i="8" s="1"/>
  <c r="D52" i="8"/>
  <c r="E52" i="8" s="1"/>
  <c r="D51" i="8"/>
  <c r="E51" i="8" s="1"/>
  <c r="D50" i="8"/>
  <c r="E50" i="8" s="1"/>
  <c r="D49" i="8"/>
  <c r="E49" i="8" s="1"/>
  <c r="D48" i="8"/>
  <c r="E48" i="8" s="1"/>
  <c r="D47" i="8"/>
  <c r="E47" i="8" s="1"/>
  <c r="D45" i="8"/>
  <c r="E45" i="8" s="1"/>
  <c r="D44" i="8"/>
  <c r="E44" i="8" s="1"/>
  <c r="D43" i="8"/>
  <c r="E43" i="8" s="1"/>
  <c r="D42" i="8"/>
  <c r="E42" i="8" s="1"/>
  <c r="D41" i="8"/>
  <c r="E41" i="8" s="1"/>
  <c r="D39" i="8"/>
  <c r="E39" i="8" s="1"/>
  <c r="D38" i="8"/>
  <c r="E38" i="8" s="1"/>
  <c r="D37" i="8"/>
  <c r="E37" i="8" s="1"/>
  <c r="D35" i="8"/>
  <c r="E35" i="8" s="1"/>
  <c r="D34" i="8"/>
  <c r="E34" i="8" s="1"/>
  <c r="D33" i="8"/>
  <c r="E33" i="8" s="1"/>
  <c r="D32" i="8"/>
  <c r="E32" i="8" s="1"/>
  <c r="D31" i="8"/>
  <c r="E31" i="8" s="1"/>
  <c r="D29" i="8"/>
  <c r="E29" i="8" s="1"/>
  <c r="D28" i="8"/>
  <c r="E28" i="8" s="1"/>
  <c r="D27" i="8"/>
  <c r="E27" i="8" s="1"/>
  <c r="D26" i="8"/>
  <c r="E26" i="8" s="1"/>
  <c r="D24" i="8"/>
  <c r="E24" i="8" s="1"/>
  <c r="D23" i="8"/>
  <c r="E23" i="8" s="1"/>
  <c r="D22" i="8"/>
  <c r="E22" i="8" s="1"/>
  <c r="D21" i="8"/>
  <c r="E21" i="8" s="1"/>
  <c r="D20" i="8"/>
  <c r="E20" i="8" s="1"/>
  <c r="D19" i="8"/>
  <c r="E19" i="8" s="1"/>
  <c r="D18" i="8"/>
  <c r="E18" i="8" s="1"/>
  <c r="D17" i="8"/>
  <c r="E17" i="8" s="1"/>
  <c r="D16" i="8"/>
  <c r="E16" i="8" s="1"/>
  <c r="D15" i="8"/>
  <c r="E15" i="8" s="1"/>
  <c r="D13" i="8"/>
  <c r="E13" i="8" s="1"/>
  <c r="D12" i="8"/>
  <c r="E12" i="8" s="1"/>
  <c r="D11" i="8"/>
  <c r="E11" i="8" s="1"/>
  <c r="D10" i="8"/>
  <c r="E10" i="8" s="1"/>
  <c r="D9" i="8"/>
  <c r="E9" i="8" s="1"/>
  <c r="D8" i="8"/>
  <c r="E8" i="8" s="1"/>
  <c r="D7" i="8"/>
  <c r="E7" i="8" s="1"/>
  <c r="D6" i="8"/>
  <c r="E6" i="8" s="1"/>
  <c r="D5" i="8"/>
  <c r="E5" i="8" s="1"/>
  <c r="D70" i="7"/>
  <c r="E70" i="7" s="1"/>
  <c r="D69" i="7"/>
  <c r="E69" i="7" s="1"/>
  <c r="D68" i="7"/>
  <c r="E68" i="7" s="1"/>
  <c r="D67" i="7"/>
  <c r="E67" i="7" s="1"/>
  <c r="D65" i="7"/>
  <c r="E65" i="7" s="1"/>
  <c r="D64" i="7"/>
  <c r="E64" i="7" s="1"/>
  <c r="D63" i="7"/>
  <c r="E63" i="7" s="1"/>
  <c r="D62" i="7"/>
  <c r="E62" i="7" s="1"/>
  <c r="D61" i="7"/>
  <c r="E61" i="7" s="1"/>
  <c r="D60" i="7"/>
  <c r="E60" i="7" s="1"/>
  <c r="D59" i="7"/>
  <c r="E59" i="7" s="1"/>
  <c r="D58" i="7"/>
  <c r="E58" i="7" s="1"/>
  <c r="D57" i="7"/>
  <c r="E57" i="7" s="1"/>
  <c r="D56" i="7"/>
  <c r="E56" i="7" s="1"/>
  <c r="D54" i="7"/>
  <c r="E54" i="7" s="1"/>
  <c r="D53" i="7"/>
  <c r="E53" i="7" s="1"/>
  <c r="D52" i="7"/>
  <c r="E52" i="7" s="1"/>
  <c r="D51" i="7"/>
  <c r="E51" i="7" s="1"/>
  <c r="D50" i="7"/>
  <c r="E50" i="7" s="1"/>
  <c r="D49" i="7"/>
  <c r="E49" i="7" s="1"/>
  <c r="D48" i="7"/>
  <c r="E48" i="7" s="1"/>
  <c r="D47" i="7"/>
  <c r="E47" i="7" s="1"/>
  <c r="D46" i="7"/>
  <c r="E46" i="7" s="1"/>
  <c r="D45" i="7"/>
  <c r="E45" i="7" s="1"/>
  <c r="D44" i="7"/>
  <c r="E44" i="7" s="1"/>
  <c r="D42" i="7"/>
  <c r="E42" i="7" s="1"/>
  <c r="D41" i="7"/>
  <c r="E41" i="7" s="1"/>
  <c r="D40" i="7"/>
  <c r="E40" i="7" s="1"/>
  <c r="D39" i="7"/>
  <c r="E39" i="7" s="1"/>
  <c r="D38" i="7"/>
  <c r="E38" i="7" s="1"/>
  <c r="D36" i="7"/>
  <c r="E36" i="7" s="1"/>
  <c r="D35" i="7"/>
  <c r="E35" i="7" s="1"/>
  <c r="D34" i="7"/>
  <c r="E34" i="7" s="1"/>
  <c r="D32" i="7"/>
  <c r="E32" i="7" s="1"/>
  <c r="D31" i="7"/>
  <c r="E31" i="7" s="1"/>
  <c r="D30" i="7"/>
  <c r="E30" i="7" s="1"/>
  <c r="D29" i="7"/>
  <c r="E29" i="7" s="1"/>
  <c r="D28" i="7"/>
  <c r="E28" i="7" s="1"/>
  <c r="D26" i="7"/>
  <c r="E26" i="7" s="1"/>
  <c r="D25" i="7"/>
  <c r="E25" i="7" s="1"/>
  <c r="D24" i="7"/>
  <c r="E24" i="7" s="1"/>
  <c r="D23" i="7"/>
  <c r="E23" i="7" s="1"/>
  <c r="D21" i="7"/>
  <c r="E21" i="7" s="1"/>
  <c r="D20" i="7"/>
  <c r="E20" i="7" s="1"/>
  <c r="D19" i="7"/>
  <c r="E19" i="7" s="1"/>
  <c r="D18" i="7"/>
  <c r="E18" i="7" s="1"/>
  <c r="D17" i="7"/>
  <c r="E17" i="7" s="1"/>
  <c r="D16" i="7"/>
  <c r="E16" i="7" s="1"/>
  <c r="D15" i="7"/>
  <c r="E15" i="7" s="1"/>
  <c r="D14" i="7"/>
  <c r="E14" i="7" s="1"/>
  <c r="D12" i="7"/>
  <c r="E12" i="7" s="1"/>
  <c r="D11" i="7"/>
  <c r="E11" i="7" s="1"/>
  <c r="D10" i="7"/>
  <c r="E10" i="7" s="1"/>
  <c r="D9" i="7"/>
  <c r="E9" i="7" s="1"/>
  <c r="D8" i="7"/>
  <c r="E8" i="7" s="1"/>
  <c r="D7" i="7"/>
  <c r="E7" i="7" s="1"/>
  <c r="D6" i="7"/>
  <c r="E6" i="7" s="1"/>
  <c r="D5" i="7"/>
  <c r="E5" i="7" s="1"/>
  <c r="D73" i="6"/>
  <c r="E73" i="6" s="1"/>
  <c r="D72" i="6"/>
  <c r="E72" i="6" s="1"/>
  <c r="D71" i="6"/>
  <c r="E71" i="6" s="1"/>
  <c r="D70" i="6"/>
  <c r="E70" i="6" s="1"/>
  <c r="D68" i="6"/>
  <c r="E68" i="6" s="1"/>
  <c r="D67" i="6"/>
  <c r="E67" i="6" s="1"/>
  <c r="D66" i="6"/>
  <c r="E66" i="6" s="1"/>
  <c r="D65" i="6"/>
  <c r="E65" i="6" s="1"/>
  <c r="D64" i="6"/>
  <c r="E64" i="6" s="1"/>
  <c r="D63" i="6"/>
  <c r="E63" i="6" s="1"/>
  <c r="D62" i="6"/>
  <c r="E62" i="6" s="1"/>
  <c r="D61" i="6"/>
  <c r="E61" i="6" s="1"/>
  <c r="D60" i="6"/>
  <c r="E60" i="6" s="1"/>
  <c r="D59" i="6"/>
  <c r="E59" i="6" s="1"/>
  <c r="D57" i="6"/>
  <c r="E57" i="6" s="1"/>
  <c r="D56" i="6"/>
  <c r="E56" i="6" s="1"/>
  <c r="D55" i="6"/>
  <c r="E55" i="6" s="1"/>
  <c r="D54" i="6"/>
  <c r="E54" i="6" s="1"/>
  <c r="D53" i="6"/>
  <c r="E53" i="6" s="1"/>
  <c r="D52" i="6"/>
  <c r="E52" i="6" s="1"/>
  <c r="D51" i="6"/>
  <c r="E51" i="6" s="1"/>
  <c r="D50" i="6"/>
  <c r="E50" i="6" s="1"/>
  <c r="D49" i="6"/>
  <c r="E49" i="6" s="1"/>
  <c r="D48" i="6"/>
  <c r="E48" i="6" s="1"/>
  <c r="D47" i="6"/>
  <c r="E47" i="6" s="1"/>
  <c r="D45" i="6"/>
  <c r="E45" i="6" s="1"/>
  <c r="D44" i="6"/>
  <c r="E44" i="6" s="1"/>
  <c r="D43" i="6"/>
  <c r="E43" i="6" s="1"/>
  <c r="D42" i="6"/>
  <c r="E42" i="6" s="1"/>
  <c r="D41" i="6"/>
  <c r="E41" i="6" s="1"/>
  <c r="D39" i="6"/>
  <c r="E39" i="6" s="1"/>
  <c r="D38" i="6"/>
  <c r="E38" i="6" s="1"/>
  <c r="D37" i="6"/>
  <c r="E37" i="6" s="1"/>
  <c r="D35" i="6"/>
  <c r="E35" i="6" s="1"/>
  <c r="D34" i="6"/>
  <c r="E34" i="6" s="1"/>
  <c r="D33" i="6"/>
  <c r="E33" i="6" s="1"/>
  <c r="D32" i="6"/>
  <c r="E32" i="6" s="1"/>
  <c r="D31" i="6"/>
  <c r="E31" i="6" s="1"/>
  <c r="D29" i="6"/>
  <c r="E29" i="6" s="1"/>
  <c r="D28" i="6"/>
  <c r="E28" i="6" s="1"/>
  <c r="D27" i="6"/>
  <c r="E27" i="6" s="1"/>
  <c r="D26" i="6"/>
  <c r="E26" i="6" s="1"/>
  <c r="D24" i="6"/>
  <c r="E24" i="6" s="1"/>
  <c r="D23" i="6"/>
  <c r="E23" i="6" s="1"/>
  <c r="D22" i="6"/>
  <c r="E22" i="6" s="1"/>
  <c r="D21" i="6"/>
  <c r="E21" i="6" s="1"/>
  <c r="D20" i="6"/>
  <c r="E20" i="6" s="1"/>
  <c r="D19" i="6"/>
  <c r="E19" i="6" s="1"/>
  <c r="D18" i="6"/>
  <c r="E18" i="6" s="1"/>
  <c r="D17" i="6"/>
  <c r="E17" i="6" s="1"/>
  <c r="D16" i="6"/>
  <c r="E16" i="6" s="1"/>
  <c r="D15" i="6"/>
  <c r="E15" i="6" s="1"/>
  <c r="D13" i="6"/>
  <c r="E13" i="6" s="1"/>
  <c r="D12" i="6"/>
  <c r="E12" i="6" s="1"/>
  <c r="D11" i="6"/>
  <c r="E11" i="6" s="1"/>
  <c r="D10" i="6"/>
  <c r="E10" i="6" s="1"/>
  <c r="D9" i="6"/>
  <c r="E9" i="6" s="1"/>
  <c r="D8" i="6"/>
  <c r="E8" i="6" s="1"/>
  <c r="D7" i="6"/>
  <c r="E7" i="6" s="1"/>
  <c r="D6" i="6"/>
  <c r="E6" i="6" s="1"/>
  <c r="D5" i="6"/>
  <c r="E5" i="6" s="1"/>
  <c r="D70" i="5"/>
  <c r="E70" i="5" s="1"/>
  <c r="D69" i="5"/>
  <c r="E69" i="5" s="1"/>
  <c r="D68" i="5"/>
  <c r="E68" i="5" s="1"/>
  <c r="D67" i="5"/>
  <c r="E67" i="5" s="1"/>
  <c r="D65" i="5"/>
  <c r="E65" i="5" s="1"/>
  <c r="D64" i="5"/>
  <c r="E64" i="5" s="1"/>
  <c r="D63" i="5"/>
  <c r="E63" i="5" s="1"/>
  <c r="D62" i="5"/>
  <c r="E62" i="5" s="1"/>
  <c r="D61" i="5"/>
  <c r="E61" i="5" s="1"/>
  <c r="D60" i="5"/>
  <c r="E60" i="5" s="1"/>
  <c r="D59" i="5"/>
  <c r="E59" i="5" s="1"/>
  <c r="D58" i="5"/>
  <c r="E58" i="5" s="1"/>
  <c r="D57" i="5"/>
  <c r="E57" i="5" s="1"/>
  <c r="D56" i="5"/>
  <c r="E56" i="5" s="1"/>
  <c r="D54" i="5"/>
  <c r="E54" i="5" s="1"/>
  <c r="D53" i="5"/>
  <c r="E53" i="5" s="1"/>
  <c r="D52" i="5"/>
  <c r="E52" i="5" s="1"/>
  <c r="D51" i="5"/>
  <c r="E51" i="5" s="1"/>
  <c r="D50" i="5"/>
  <c r="E50" i="5" s="1"/>
  <c r="D49" i="5"/>
  <c r="E49" i="5" s="1"/>
  <c r="D48" i="5"/>
  <c r="E48" i="5" s="1"/>
  <c r="D47" i="5"/>
  <c r="E47" i="5" s="1"/>
  <c r="D46" i="5"/>
  <c r="E46" i="5" s="1"/>
  <c r="D45" i="5"/>
  <c r="E45" i="5" s="1"/>
  <c r="D44" i="5"/>
  <c r="E44" i="5" s="1"/>
  <c r="D42" i="5"/>
  <c r="E42" i="5" s="1"/>
  <c r="D41" i="5"/>
  <c r="E41" i="5" s="1"/>
  <c r="D40" i="5"/>
  <c r="E40" i="5" s="1"/>
  <c r="D39" i="5"/>
  <c r="E39" i="5" s="1"/>
  <c r="D38" i="5"/>
  <c r="E38" i="5" s="1"/>
  <c r="D36" i="5"/>
  <c r="E36" i="5" s="1"/>
  <c r="D35" i="5"/>
  <c r="E35" i="5" s="1"/>
  <c r="D34" i="5"/>
  <c r="E34" i="5" s="1"/>
  <c r="D32" i="5"/>
  <c r="E32" i="5" s="1"/>
  <c r="D31" i="5"/>
  <c r="E31" i="5" s="1"/>
  <c r="D30" i="5"/>
  <c r="E30" i="5" s="1"/>
  <c r="D29" i="5"/>
  <c r="E29" i="5" s="1"/>
  <c r="D28" i="5"/>
  <c r="E28" i="5" s="1"/>
  <c r="D26" i="5"/>
  <c r="E26" i="5" s="1"/>
  <c r="D23" i="5"/>
  <c r="E23" i="5" s="1"/>
  <c r="D22" i="5"/>
  <c r="E22" i="5" s="1"/>
  <c r="D21" i="5"/>
  <c r="E21" i="5" s="1"/>
  <c r="D20" i="5"/>
  <c r="E20" i="5" s="1"/>
  <c r="D19" i="5"/>
  <c r="E19" i="5" s="1"/>
  <c r="D18" i="5"/>
  <c r="E18" i="5" s="1"/>
  <c r="D17" i="5"/>
  <c r="E17" i="5" s="1"/>
  <c r="D16" i="5"/>
  <c r="E16" i="5" s="1"/>
  <c r="D15" i="5"/>
  <c r="E15" i="5" s="1"/>
  <c r="D13" i="5"/>
  <c r="E13" i="5" s="1"/>
  <c r="D12" i="5"/>
  <c r="E12" i="5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D63" i="4"/>
  <c r="E63" i="4" s="1"/>
  <c r="D62" i="4"/>
  <c r="E62" i="4" s="1"/>
  <c r="D61" i="4"/>
  <c r="E61" i="4" s="1"/>
  <c r="D60" i="4"/>
  <c r="E60" i="4" s="1"/>
  <c r="D58" i="4"/>
  <c r="E58" i="4" s="1"/>
  <c r="D57" i="4"/>
  <c r="E57" i="4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5" i="4"/>
  <c r="E35" i="4" s="1"/>
  <c r="D34" i="4"/>
  <c r="E34" i="4" s="1"/>
  <c r="D33" i="4"/>
  <c r="E33" i="4" s="1"/>
  <c r="D31" i="4"/>
  <c r="E31" i="4" s="1"/>
  <c r="D30" i="4"/>
  <c r="E30" i="4" s="1"/>
  <c r="D28" i="4"/>
  <c r="E28" i="4" s="1"/>
  <c r="D27" i="4"/>
  <c r="E27" i="4" s="1"/>
  <c r="D25" i="4"/>
  <c r="E25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D5" i="4"/>
  <c r="E5" i="4" s="1"/>
  <c r="D56" i="3"/>
  <c r="E56" i="3" s="1"/>
  <c r="D55" i="3"/>
  <c r="E55" i="3" s="1"/>
  <c r="D54" i="3"/>
  <c r="E54" i="3" s="1"/>
  <c r="D53" i="3"/>
  <c r="E53" i="3" s="1"/>
  <c r="D51" i="3"/>
  <c r="E51" i="3" s="1"/>
  <c r="D50" i="3"/>
  <c r="E50" i="3" s="1"/>
  <c r="D49" i="3"/>
  <c r="E49" i="3" s="1"/>
  <c r="D48" i="3"/>
  <c r="E48" i="3" s="1"/>
  <c r="D47" i="3"/>
  <c r="E47" i="3" s="1"/>
  <c r="D46" i="3"/>
  <c r="E46" i="3" s="1"/>
  <c r="D45" i="3"/>
  <c r="E45" i="3" s="1"/>
  <c r="D44" i="3"/>
  <c r="E44" i="3" s="1"/>
  <c r="D43" i="3"/>
  <c r="E43" i="3" s="1"/>
  <c r="D42" i="3"/>
  <c r="E42" i="3" s="1"/>
  <c r="D40" i="3"/>
  <c r="E40" i="3" s="1"/>
  <c r="D39" i="3"/>
  <c r="E39" i="3" s="1"/>
  <c r="D38" i="3"/>
  <c r="E38" i="3" s="1"/>
  <c r="D37" i="3"/>
  <c r="E37" i="3" s="1"/>
  <c r="D36" i="3"/>
  <c r="E36" i="3" s="1"/>
  <c r="D35" i="3"/>
  <c r="E35" i="3" s="1"/>
  <c r="D34" i="3"/>
  <c r="E34" i="3" s="1"/>
  <c r="D33" i="3"/>
  <c r="E33" i="3" s="1"/>
  <c r="D32" i="3"/>
  <c r="E32" i="3" s="1"/>
  <c r="D31" i="3"/>
  <c r="E31" i="3" s="1"/>
  <c r="D30" i="3"/>
  <c r="E30" i="3" s="1"/>
  <c r="D28" i="3"/>
  <c r="E28" i="3" s="1"/>
  <c r="D27" i="3"/>
  <c r="E27" i="3" s="1"/>
  <c r="D25" i="3"/>
  <c r="E25" i="3" s="1"/>
  <c r="D23" i="3"/>
  <c r="E23" i="3" s="1"/>
  <c r="D21" i="3"/>
  <c r="E21" i="3" s="1"/>
  <c r="D20" i="3"/>
  <c r="E20" i="3" s="1"/>
  <c r="D19" i="3"/>
  <c r="E19" i="3" s="1"/>
  <c r="D18" i="3"/>
  <c r="E18" i="3" s="1"/>
  <c r="D17" i="3"/>
  <c r="E17" i="3" s="1"/>
  <c r="D16" i="3"/>
  <c r="E16" i="3" s="1"/>
  <c r="D15" i="3"/>
  <c r="E15" i="3" s="1"/>
  <c r="D13" i="3"/>
  <c r="E13" i="3" s="1"/>
  <c r="D12" i="3"/>
  <c r="E12" i="3" s="1"/>
  <c r="D11" i="3"/>
  <c r="E11" i="3" s="1"/>
  <c r="D10" i="3"/>
  <c r="E10" i="3" s="1"/>
  <c r="D9" i="3"/>
  <c r="E9" i="3" s="1"/>
  <c r="D8" i="3"/>
  <c r="E8" i="3" s="1"/>
  <c r="D7" i="3"/>
  <c r="E7" i="3" s="1"/>
  <c r="D6" i="3"/>
  <c r="E6" i="3" s="1"/>
  <c r="D5" i="3"/>
  <c r="E5" i="3" s="1"/>
  <c r="E77" i="6" l="1"/>
  <c r="E78" i="6" s="1"/>
  <c r="E79" i="6" s="1"/>
  <c r="E80" i="6" s="1"/>
  <c r="E83" i="6" s="1"/>
  <c r="E60" i="3"/>
  <c r="E61" i="3" s="1"/>
  <c r="E62" i="3" s="1"/>
  <c r="E63" i="3" s="1"/>
  <c r="E65" i="3" s="1"/>
  <c r="E77" i="8"/>
  <c r="E78" i="8" s="1"/>
  <c r="E79" i="8" s="1"/>
  <c r="E80" i="8" s="1"/>
  <c r="E67" i="4"/>
  <c r="E68" i="4" s="1"/>
  <c r="E69" i="4" s="1"/>
  <c r="E70" i="4" s="1"/>
  <c r="E74" i="5"/>
  <c r="E75" i="5" s="1"/>
  <c r="E76" i="5" s="1"/>
  <c r="E77" i="5" s="1"/>
  <c r="E74" i="7"/>
  <c r="E75" i="7" s="1"/>
  <c r="E76" i="7" s="1"/>
  <c r="E77" i="7" s="1"/>
  <c r="E63" i="9"/>
  <c r="E64" i="9" s="1"/>
  <c r="E65" i="9" s="1"/>
  <c r="E66" i="9" s="1"/>
  <c r="E82" i="6" l="1"/>
  <c r="E66" i="3"/>
  <c r="E79" i="5"/>
  <c r="E80" i="5"/>
  <c r="E82" i="8"/>
  <c r="E83" i="8"/>
  <c r="E72" i="4"/>
  <c r="E73" i="4"/>
  <c r="E79" i="7"/>
  <c r="E80" i="7"/>
  <c r="E69" i="9"/>
  <c r="E68" i="9"/>
</calcChain>
</file>

<file path=xl/sharedStrings.xml><?xml version="1.0" encoding="utf-8"?>
<sst xmlns="http://schemas.openxmlformats.org/spreadsheetml/2006/main" count="1586" uniqueCount="259">
  <si>
    <t>✦ JULES STUDIO</t>
  </si>
  <si>
    <t>📋 THÔNG TIN KHÁCH HÀNG</t>
  </si>
  <si>
    <t>Ngày báo giá:</t>
  </si>
  <si>
    <t/>
  </si>
  <si>
    <t>Hiệu lực:</t>
  </si>
  <si>
    <t>30 ngày</t>
  </si>
  <si>
    <t>Khách hàng:</t>
  </si>
  <si>
    <t>Điện thoại:</t>
  </si>
  <si>
    <t>Email:</t>
  </si>
  <si>
    <t>Zalo:</t>
  </si>
  <si>
    <t>Tên website:</t>
  </si>
  <si>
    <t>Tên miền:</t>
  </si>
  <si>
    <t>Loại website:</t>
  </si>
  <si>
    <t>Gói:</t>
  </si>
  <si>
    <t>🎨 PHONG CÁCH THIẾT KẾ (chọn 1-2)</t>
  </si>
  <si>
    <t>STT</t>
  </si>
  <si>
    <t>Phong cách</t>
  </si>
  <si>
    <t>Chọn</t>
  </si>
  <si>
    <t>Mô tả</t>
  </si>
  <si>
    <t>Minimalism (Tối giản)</t>
  </si>
  <si>
    <t>Sạch, nhiều khoảng trống, tập trung nội dung</t>
  </si>
  <si>
    <t>Exaggerated Minimalism</t>
  </si>
  <si>
    <t>Tối giản mạnh mẽ, chữ to, contrast cao</t>
  </si>
  <si>
    <t>Glassmorphism (Kính mờ)</t>
  </si>
  <si>
    <t>Hiệu ứng kính mờ, backdrop blur, trong suốt</t>
  </si>
  <si>
    <t>Neumorphism (Soft UI)</t>
  </si>
  <si>
    <t>Nổi/lõm nhẹ, pastel, mềm mại</t>
  </si>
  <si>
    <t>Neubrutalism</t>
  </si>
  <si>
    <t>Viền đen đậm, shadow cứng, màu sáng, Gen Z</t>
  </si>
  <si>
    <t>Flat Design</t>
  </si>
  <si>
    <t>2D, không shadow, màu sắc tươi sáng</t>
  </si>
  <si>
    <t>Dark Mode (OLED)</t>
  </si>
  <si>
    <t>Nền đen, chữ sáng, tiết kiệm pin OLED</t>
  </si>
  <si>
    <t>Bento Box Grid</t>
  </si>
  <si>
    <t>Lưới module kiểu Apple, thẻ bo tròn</t>
  </si>
  <si>
    <t>Aurora UI</t>
  </si>
  <si>
    <t>Gradient mượt kiểu cực quang, mesh gradient</t>
  </si>
  <si>
    <t>Vibrant &amp; Block-based</t>
  </si>
  <si>
    <t>Màu neon, block layout, năng động</t>
  </si>
  <si>
    <t>Claymorphism</t>
  </si>
  <si>
    <t>3D mềm, kiểu đồ chơi, playful</t>
  </si>
  <si>
    <t>Motion-Driven</t>
  </si>
  <si>
    <t>Animation nhiều, scroll effects, parallax</t>
  </si>
  <si>
    <t>Retro-Futurism / Y2K</t>
  </si>
  <si>
    <t>Neon 80-90s, chrome, synthwave</t>
  </si>
  <si>
    <t>Cyberpunk</t>
  </si>
  <si>
    <t>Neon, dark, terminal, HUD sci-fi</t>
  </si>
  <si>
    <t>Organic / Biophilic</t>
  </si>
  <si>
    <t>Thiên nhiên, bo tròn, xanh lá, wellness</t>
  </si>
  <si>
    <t>Swiss Modernism 2.0</t>
  </si>
  <si>
    <t>Grid system, typography mạnh, rational</t>
  </si>
  <si>
    <t>AI-Native UI</t>
  </si>
  <si>
    <t>Chatbot, conversational, minimal chrome</t>
  </si>
  <si>
    <t>Memphis Design</t>
  </si>
  <si>
    <t>Hình học 80s, playful, postmodern</t>
  </si>
  <si>
    <t>E-Ink / Paper</t>
  </si>
  <si>
    <t>Giống giấy, matte, tĩnh lặng, đọc sách</t>
  </si>
  <si>
    <t>Kinetic Typography</t>
  </si>
  <si>
    <t>Chữ chuyển động, animation text</t>
  </si>
  <si>
    <t>Pixel Art / Retro</t>
  </si>
  <si>
    <t>8-bit, game cổ điển, nostalgic</t>
  </si>
  <si>
    <t>Spatial UI (VisionOS)</t>
  </si>
  <si>
    <t>Kiểu Apple Vision Pro, depth, glass</t>
  </si>
  <si>
    <t>Storytelling-Driven</t>
  </si>
  <si>
    <t>Layout kể chuyện, scroll narrative</t>
  </si>
  <si>
    <t>Khác (ghi bên ghi chú)</t>
  </si>
  <si>
    <t>📝 YÊU CẦU THIẾT KẾ CHI TIẾT</t>
  </si>
  <si>
    <t>Màu sắc yêu thích:</t>
  </si>
  <si>
    <t>VD: xanh navy, vàng gold, trắng...</t>
  </si>
  <si>
    <t>Font chữ yêu thích:</t>
  </si>
  <si>
    <t>VD: Montserrat, Playfair Display, Be Vietnam Pro...</t>
  </si>
  <si>
    <t>Website tham khảo:</t>
  </si>
  <si>
    <t>Ghi URL website mẫu bạn thích</t>
  </si>
  <si>
    <t>Tone &amp; Mood:</t>
  </si>
  <si>
    <t>VD: sang trọng, trẻ trung, chuyên nghiệp, vui tươi...</t>
  </si>
  <si>
    <t>Logo / Brand guidelines:</t>
  </si>
  <si>
    <t>Có sẵn logo? Có bộ nhận diện thương hiệu?</t>
  </si>
  <si>
    <t>Yêu cầu khác:</t>
  </si>
  <si>
    <t>📝 GHI CHÚ &amp; ĐIỀU KHOẢN</t>
  </si>
  <si>
    <t>1. Báo giá có hiệu lực 30 ngày kể từ ngày lập.</t>
  </si>
  <si>
    <t>2. Đặt cọc 40% trước khi bắt đầu. Thanh toán 60% còn lại khi nghiệm thu.</t>
  </si>
  <si>
    <t>3. Thời gian tính từ ngày nhận đủ nội dung &amp; tài liệu từ khách hàng.</t>
  </si>
  <si>
    <t>4. Nội dung (text, hình ảnh) do khách hàng cung cấp. Hỗ trợ thiết kế banner miễn phí.</t>
  </si>
  <si>
    <t>5. Sửa đổi lớn sau khi duyệt thiết kế sẽ phát sinh thêm phí.</t>
  </si>
  <si>
    <t>ĐẠI DIỆN JULES STUDIO</t>
  </si>
  <si>
    <t>KHÁCH HÀNG</t>
  </si>
  <si>
    <t>(Ký, ghi rõ họ tên)</t>
  </si>
  <si>
    <t>🔢 HỆ SỐ TÍNH NĂNG</t>
  </si>
  <si>
    <t>Tính năng</t>
  </si>
  <si>
    <t>Hệ số</t>
  </si>
  <si>
    <t>Ghi chú</t>
  </si>
  <si>
    <t>⚙️ CORE (Trang cơ bản)</t>
  </si>
  <si>
    <t>Homepage (hero + sections + CTA)</t>
  </si>
  <si>
    <t>About Page</t>
  </si>
  <si>
    <t>Contact Page (form + map + info)</t>
  </si>
  <si>
    <t>404 Page</t>
  </si>
  <si>
    <t>Footer + Header</t>
  </si>
  <si>
    <t>Responsive nav, logo</t>
  </si>
  <si>
    <t>Form liên hệ (gửi email)</t>
  </si>
  <si>
    <t>FAB (Floating Action Button)</t>
  </si>
  <si>
    <t>Nút nổi: gọi/Zalo/Messenger</t>
  </si>
  <si>
    <t>Google Maps nhúng</t>
  </si>
  <si>
    <t>Nút gọi điện / Zalo / Messenger</t>
  </si>
  <si>
    <t>Nếu không dùng FAB</t>
  </si>
  <si>
    <t>📝 NỘI DUNG</t>
  </si>
  <si>
    <t>Services/Products List</t>
  </si>
  <si>
    <t>Danh sách dịch vụ/sản phẩm</t>
  </si>
  <si>
    <t>Service/Product Detail</t>
  </si>
  <si>
    <t>Trang chi tiết</t>
  </si>
  <si>
    <t>Portfolio/Gallery Grid</t>
  </si>
  <si>
    <t>Lưới dự án/album ảnh</t>
  </si>
  <si>
    <t>Portfolio Detail</t>
  </si>
  <si>
    <t>Chi tiết dự án</t>
  </si>
  <si>
    <t>Blog List + Detail</t>
  </si>
  <si>
    <t>Bài viết + phân loại + tag</t>
  </si>
  <si>
    <t>FAQ Page</t>
  </si>
  <si>
    <t>Accordion Q&amp;A</t>
  </si>
  <si>
    <t>Testimonials Section</t>
  </si>
  <si>
    <t>Đánh giá khách hàng</t>
  </si>
  <si>
    <t>Video nhúng (YouTube, Vimeo)</t>
  </si>
  <si>
    <t>Banner / Slider quản lý</t>
  </si>
  <si>
    <t>Admin quản lý banner</t>
  </si>
  <si>
    <t>Đánh giá / Review sản phẩm</t>
  </si>
  <si>
    <t>Rating + comment</t>
  </si>
  <si>
    <t>🛒 BOOKING &amp; THƯƠNG MẠI</t>
  </si>
  <si>
    <t>Booking Form (đơn giản)</t>
  </si>
  <si>
    <t>Form đặt lịch cơ bản</t>
  </si>
  <si>
    <t>Booking System (calendar + slots)</t>
  </si>
  <si>
    <t>Hệ thống đặt lịch đầy đủ</t>
  </si>
  <si>
    <t>Shopping Cart</t>
  </si>
  <si>
    <t>Giỏ hàng</t>
  </si>
  <si>
    <t>Checkout + Payment (Stripe/VNPay)</t>
  </si>
  <si>
    <t>Thanh toán online</t>
  </si>
  <si>
    <t>Order Tracking</t>
  </si>
  <si>
    <t>Theo dõi đơn hàng</t>
  </si>
  <si>
    <t>Mã giảm giá / Voucher</t>
  </si>
  <si>
    <t>Coupon system</t>
  </si>
  <si>
    <t>📊 ADMIN &amp; QUẢN TRỊ</t>
  </si>
  <si>
    <t>Dashboard Admin (CRUD cơ bản)</t>
  </si>
  <si>
    <t>Quản lý dữ liệu</t>
  </si>
  <si>
    <t>Dashboard Full (CRUD + analytics)</t>
  </si>
  <si>
    <t>Charts, KPIs, reports</t>
  </si>
  <si>
    <t>Site Config Editor</t>
  </si>
  <si>
    <t>Cài đặt hệ thống</t>
  </si>
  <si>
    <t>User Management</t>
  </si>
  <si>
    <t>Quản lý tài khoản</t>
  </si>
  <si>
    <t>Xuất báo cáo (Excel, PDF)</t>
  </si>
  <si>
    <t>Export reports</t>
  </si>
  <si>
    <t>🔐 TÀI KHOẢN &amp; BẢO MẬT</t>
  </si>
  <si>
    <t>Login/Register (Firebase Auth)</t>
  </si>
  <si>
    <t>Social Login (Google/Facebook)</t>
  </si>
  <si>
    <t>OAuth2</t>
  </si>
  <si>
    <t>Role-based Access</t>
  </si>
  <si>
    <t>Phân quyền Admin/User/Staff</t>
  </si>
  <si>
    <t>🔔 THÔNG BÁO</t>
  </si>
  <si>
    <t>Email notification</t>
  </si>
  <si>
    <t>SendGrid</t>
  </si>
  <si>
    <t>Admin dashboard notification</t>
  </si>
  <si>
    <t>Chuông thông báo</t>
  </si>
  <si>
    <t>FCM Push Notification</t>
  </si>
  <si>
    <t>Push trình duyệt</t>
  </si>
  <si>
    <t>SMS Notification</t>
  </si>
  <si>
    <t>In-app Notification</t>
  </si>
  <si>
    <t>Thông báo trong app</t>
  </si>
  <si>
    <t>🔧 KỸ THUẬT</t>
  </si>
  <si>
    <t>Responsive (mobile + tablet)</t>
  </si>
  <si>
    <t>SEO cơ bản (meta, sitemap, robots)</t>
  </si>
  <si>
    <t>SEO nâng cao (schema markup)</t>
  </si>
  <si>
    <t>Rich snippets</t>
  </si>
  <si>
    <t>Open Graph (share Facebook đẹp)</t>
  </si>
  <si>
    <t>Google Analytics / Tag Manager</t>
  </si>
  <si>
    <t>Facebook Pixel</t>
  </si>
  <si>
    <t>SSL Certificate (HTTPS)</t>
  </si>
  <si>
    <t>Miễn phí (Cloudflare)</t>
  </si>
  <si>
    <t>PWA (offline + install)</t>
  </si>
  <si>
    <t>Multi-language (i18n)</t>
  </si>
  <si>
    <t>VI / EN</t>
  </si>
  <si>
    <t>Performance optimization</t>
  </si>
  <si>
    <t>Lighthouse, lazy load</t>
  </si>
  <si>
    <t>Schema Markup (Rich Snippets)</t>
  </si>
  <si>
    <t>🎬 ĐỘ PHỨC TẠP THIẾT KẾ</t>
  </si>
  <si>
    <t>GSAP scroll animations</t>
  </si>
  <si>
    <t>ScrollTrigger, reveal, parallax</t>
  </si>
  <si>
    <t>Smooth scroll (Lenis)</t>
  </si>
  <si>
    <t>Page transitions</t>
  </si>
  <si>
    <t>Framer Motion</t>
  </si>
  <si>
    <t>Micro-interactions</t>
  </si>
  <si>
    <t>Hover tilt, magnetic cursor</t>
  </si>
  <si>
    <t>3D elements (Three.js)</t>
  </si>
  <si>
    <t>Product viewer, 3D hero</t>
  </si>
  <si>
    <t>Parallax effects</t>
  </si>
  <si>
    <t>Card/section animations</t>
  </si>
  <si>
    <t>Fade-in, stagger khi scroll</t>
  </si>
  <si>
    <t>Glassmorphism + blur</t>
  </si>
  <si>
    <t>Dark mode toggle</t>
  </si>
  <si>
    <t>Custom cursor</t>
  </si>
  <si>
    <t>✨ NÂNG CAO</t>
  </si>
  <si>
    <t>Live Chat (Tawk.to, Crisp)</t>
  </si>
  <si>
    <t>Embed widget</t>
  </si>
  <si>
    <t>AI Chatbot</t>
  </si>
  <si>
    <t>Multi-step Form (Wizard)</t>
  </si>
  <si>
    <t>Form đặt hàng / Enquiry nâng cao</t>
  </si>
  <si>
    <t>📋 LANDING PAGE — BẢNG TÍNH NĂNG</t>
  </si>
  <si>
    <t>Mức độ</t>
  </si>
  <si>
    <t>Có / Không</t>
  </si>
  <si>
    <t>🟢 Bắt buộc</t>
  </si>
  <si>
    <t>⚪ Tùy chọn</t>
  </si>
  <si>
    <t>🟡 Nên có</t>
  </si>
  <si>
    <t>💰 TỔNG KẾT TỰ ĐỘNG</t>
  </si>
  <si>
    <t>📊  Tổng hệ số (features đã chọn)</t>
  </si>
  <si>
    <t>×  Hệ số × 1.5</t>
  </si>
  <si>
    <t>📅  Số ngày (làm tròn lên)</t>
  </si>
  <si>
    <t>💰  GIÁ DỰ KIẾN</t>
  </si>
  <si>
    <t>💳  Đặt cọc (40%)</t>
  </si>
  <si>
    <t>💳  Thanh toán nghiệm thu (60%)</t>
  </si>
  <si>
    <t>💡 Chọn Loại website + Gói ở sheet "📋 Thông Tin" → Có/Không tự động theo gói. Có thể ghi đè thủ công.</t>
  </si>
  <si>
    <t>📋 WEB GIỚI THIỆU — BẢNG TÍNH NĂNG</t>
  </si>
  <si>
    <t>📋 WEB DOANH NGHIỆP — BẢNG TÍNH NĂNG</t>
  </si>
  <si>
    <t>📋 E-COMMERCE — BẢNG TÍNH NĂNG</t>
  </si>
  <si>
    <t>📋 WEB APP — BẢNG TÍNH NĂNG</t>
  </si>
  <si>
    <t>📋 BOOKING — BẢNG TÍNH NĂNG</t>
  </si>
  <si>
    <t>📋 BLOG - TẠP CHÍ — BẢNG TÍNH NĂNG</t>
  </si>
  <si>
    <t>📊 BẢNG GIÁ THAM KHẢO — JULES STUDIO</t>
  </si>
  <si>
    <t>Loại Website</t>
  </si>
  <si>
    <t>Giá từ (VNĐ)</t>
  </si>
  <si>
    <t>Thời gian</t>
  </si>
  <si>
    <t>Landing Page (1 trang)</t>
  </si>
  <si>
    <t>5,000,000 – 8,000,000</t>
  </si>
  <si>
    <t>5 – 7 ngày</t>
  </si>
  <si>
    <t>Responsive, Form, SEO, FAB</t>
  </si>
  <si>
    <t>Website Giới Thiệu (3-6 trang)</t>
  </si>
  <si>
    <t>5,000,000 – 12,000,000</t>
  </si>
  <si>
    <t>5 – 12 ngày</t>
  </si>
  <si>
    <t>Portfolio, Testimonials, Blog</t>
  </si>
  <si>
    <t>Website Doanh Nghiệp (5-10 trang)</t>
  </si>
  <si>
    <t>8,000,000 – 18,000,000</t>
  </si>
  <si>
    <t>8 – 18 ngày</t>
  </si>
  <si>
    <t>CMS, Dashboard, SEO nâng cao</t>
  </si>
  <si>
    <t>E-commerce</t>
  </si>
  <si>
    <t>15,000,000 – 35,000,000</t>
  </si>
  <si>
    <t>15 – 35 ngày</t>
  </si>
  <si>
    <t>Cart, Payment, Admin, Auth</t>
  </si>
  <si>
    <t>Web App (ứng dụng web)</t>
  </si>
  <si>
    <t>20,000,000 – 60,000,000+</t>
  </si>
  <si>
    <t>20 – 60 ngày</t>
  </si>
  <si>
    <t>Auth, CRUD, Dashboard, API</t>
  </si>
  <si>
    <t>Booking (đặt lịch)</t>
  </si>
  <si>
    <t>10,000,000 – 25,000,000</t>
  </si>
  <si>
    <t>10 – 25 ngày</t>
  </si>
  <si>
    <t>Calendar, Payment, Admin</t>
  </si>
  <si>
    <t>Blog / Tạp Chí</t>
  </si>
  <si>
    <t>5,000,000 – 10,000,000</t>
  </si>
  <si>
    <t>5 – 10 ngày</t>
  </si>
  <si>
    <t>CMS, SEO, Categories</t>
  </si>
  <si>
    <t>⚠️ Giá chỉ mang tính tham khảo. Giá chính thức tùy thuộc yêu cầu cụ thể và tính năng được chọn.</t>
  </si>
  <si>
    <t>📧 duynt.7896@gmail.com  •  📱 094 982 0369  •  🌐 julesstudio.pages.dev</t>
  </si>
  <si>
    <t>6. Bảo trì miễn phí 1 tháng đầu (fix bug, cập nhật nội dung nhỏ).</t>
  </si>
  <si>
    <t>📅  Số ngày</t>
  </si>
  <si>
    <t>Thiết kế Website  — Trải nghiệm tạo nên giá trị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</si>
</sst>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22"/>
      <color rgb="FF6366F1"/>
      <name val="Segoe UI"/>
    </font>
    <font>
      <sz val="11"/>
      <color rgb="FF334155"/>
      <name val="Segoe UI"/>
    </font>
    <font>
      <sz val="9"/>
      <color rgb="FF334155"/>
      <name val="Segoe UI"/>
    </font>
    <font>
      <b/>
      <sz val="13"/>
      <color rgb="FFFFFFFF"/>
      <name val="Segoe UI"/>
    </font>
    <font>
      <b/>
      <sz val="10"/>
      <color rgb="FF334155"/>
      <name val="Segoe UI"/>
    </font>
    <font>
      <sz val="10"/>
      <name val="Segoe UI"/>
    </font>
    <font>
      <b/>
      <sz val="10"/>
      <color rgb="FFFFFFFF"/>
      <name val="Segoe UI"/>
    </font>
    <font>
      <sz val="10"/>
      <color rgb="FF0F172A"/>
      <name val="Segoe UI"/>
    </font>
    <font>
      <b/>
      <sz val="11"/>
      <name val="Segoe UI"/>
    </font>
    <font>
      <i/>
      <sz val="9"/>
      <color rgb="FF334155"/>
      <name val="Segoe UI"/>
    </font>
    <font>
      <i/>
      <sz val="9.5"/>
      <color rgb="FFCBD5E1"/>
      <name val="Segoe UI"/>
    </font>
    <font>
      <sz val="9.5"/>
      <color rgb="FF334155"/>
      <name val="Segoe UI"/>
    </font>
    <font>
      <b/>
      <sz val="10"/>
      <color rgb="FF6366F1"/>
      <name val="Segoe UI"/>
    </font>
    <font>
      <b/>
      <sz val="16"/>
      <color rgb="FF6366F1"/>
      <name val="Segoe UI"/>
    </font>
    <font>
      <b/>
      <sz val="10.5"/>
      <color rgb="FF1E40AF"/>
      <name val="Segoe UI"/>
    </font>
    <font>
      <b/>
      <sz val="11"/>
      <color rgb="FFC2410C"/>
      <name val="Segoe UI"/>
    </font>
    <font>
      <i/>
      <sz val="9"/>
      <color rgb="FF854D0E"/>
      <name val="Segoe UI"/>
    </font>
    <font>
      <sz val="10"/>
      <color rgb="FF166534"/>
      <name val="Segoe UI"/>
    </font>
    <font>
      <b/>
      <sz val="10"/>
      <color rgb="FFC2410C"/>
      <name val="Segoe UI"/>
    </font>
    <font>
      <sz val="10"/>
      <color rgb="FF334155"/>
      <name val="Segoe UI"/>
    </font>
    <font>
      <sz val="10"/>
      <color rgb="FF854D0E"/>
      <name val="Segoe UI"/>
    </font>
    <font>
      <b/>
      <sz val="11"/>
      <color rgb="FF0F172A"/>
      <name val="Segoe UI"/>
    </font>
    <font>
      <b/>
      <sz val="12"/>
      <color rgb="FFC2410C"/>
      <name val="Segoe UI"/>
    </font>
    <font>
      <b/>
      <sz val="14"/>
      <color rgb="FFC2410C"/>
      <name val="Segoe UI"/>
    </font>
    <font>
      <b/>
      <sz val="10"/>
      <color rgb="FF0F172A"/>
      <name val="Segoe UI"/>
    </font>
    <font>
      <sz val="10"/>
      <color rgb="FFC2410C"/>
      <name val="Segoe UI"/>
    </font>
    <font>
      <i/>
      <sz val="10"/>
      <color rgb="FF854D0E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6366F1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EF2FF"/>
      </patternFill>
    </fill>
    <fill>
      <patternFill patternType="solid">
        <fgColor rgb="FFFEF9C3"/>
      </patternFill>
    </fill>
    <fill>
      <patternFill patternType="solid">
        <fgColor rgb="FFDCFCE7"/>
      </patternFill>
    </fill>
    <fill>
      <patternFill patternType="solid">
        <fgColor rgb="FFFFF7ED"/>
      </patternFill>
    </fill>
  </fills>
  <borders count="5">
    <border>
      <left/>
      <right/>
      <top/>
      <bottom/>
      <diagonal/>
    </border>
    <border>
      <left/>
      <right/>
      <top/>
      <bottom style="dotted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hair">
        <color rgb="FFE2E8F0"/>
      </top>
      <bottom style="hair">
        <color rgb="FFE2E8F0"/>
      </bottom>
      <diagonal/>
    </border>
    <border>
      <left style="thin">
        <color rgb="FFCBD5E1"/>
      </left>
      <right style="thin">
        <color rgb="FFCBD5E1"/>
      </right>
      <top style="medium">
        <color rgb="FFE2E8F0"/>
      </top>
      <bottom style="medium">
        <color rgb="FFE2E8F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0" borderId="0" xfId="0" applyFont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0" fillId="0" borderId="1" xfId="0" applyBorder="1"/>
    <xf numFmtId="0" fontId="7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vertical="center" indent="1"/>
    </xf>
    <xf numFmtId="0" fontId="9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vertical="center" indent="1"/>
    </xf>
    <xf numFmtId="0" fontId="9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vertical="center"/>
    </xf>
    <xf numFmtId="0" fontId="16" fillId="4" borderId="3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0" fillId="4" borderId="2" xfId="0" applyFill="1" applyBorder="1"/>
    <xf numFmtId="0" fontId="0" fillId="9" borderId="4" xfId="0" applyFill="1" applyBorder="1"/>
    <xf numFmtId="0" fontId="0" fillId="0" borderId="3" xfId="0" applyBorder="1"/>
    <xf numFmtId="0" fontId="7" fillId="2" borderId="2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vertical="center" wrapText="1" indent="1"/>
    </xf>
    <xf numFmtId="0" fontId="26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vertical="center" wrapText="1" indent="1"/>
    </xf>
    <xf numFmtId="0" fontId="26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vertical="center" wrapText="1" indent="1"/>
    </xf>
    <xf numFmtId="0" fontId="13" fillId="0" borderId="0" xfId="0" applyFont="1" applyAlignment="1">
      <alignment horizontal="center"/>
    </xf>
    <xf numFmtId="0" fontId="11" fillId="0" borderId="1" xfId="0" applyFont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5" fillId="6" borderId="2" xfId="0" applyFont="1" applyFill="1" applyBorder="1" applyAlignment="1">
      <alignment vertical="center" indent="1"/>
    </xf>
    <xf numFmtId="0" fontId="14" fillId="0" borderId="0" xfId="0" applyFont="1" applyAlignment="1">
      <alignment horizontal="center" vertical="center"/>
    </xf>
    <xf numFmtId="0" fontId="17" fillId="7" borderId="0" xfId="0" applyFont="1" applyFill="1" applyAlignment="1">
      <alignment vertical="center" indent="1"/>
    </xf>
    <xf numFmtId="0" fontId="23" fillId="9" borderId="4" xfId="0" applyFont="1" applyFill="1" applyBorder="1" applyAlignment="1">
      <alignment vertical="center" indent="1"/>
    </xf>
    <xf numFmtId="3" fontId="24" fillId="9" borderId="4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 indent="1"/>
    </xf>
    <xf numFmtId="3" fontId="22" fillId="0" borderId="3" xfId="0" applyNumberFormat="1" applyFont="1" applyBorder="1" applyAlignment="1">
      <alignment horizontal="center" vertical="center"/>
    </xf>
    <xf numFmtId="0" fontId="8" fillId="4" borderId="2" xfId="0" applyFont="1" applyFill="1" applyBorder="1" applyAlignment="1">
      <alignment vertical="center" indent="1"/>
    </xf>
    <xf numFmtId="0" fontId="22" fillId="4" borderId="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366F1"/>
    <pageSetUpPr fitToPage="1"/>
  </sheetPr>
  <dimension ref="A1:D60"/>
  <sheetViews>
    <sheetView tabSelected="1" workbookViewId="0">
      <selection activeCell="A3" sqref="A3:D3"/>
    </sheetView>
  </sheetViews>
  <sheetFormatPr defaultRowHeight="15" x14ac:dyDescent="0.25"/>
  <cols>
    <col min="1" max="1" width="23.28515625" bestFit="1" customWidth="1"/>
    <col min="2" max="2" width="38" customWidth="1"/>
    <col min="3" max="3" width="14" customWidth="1"/>
    <col min="4" max="4" width="37.5703125" bestFit="1" customWidth="1"/>
  </cols>
  <sheetData>
    <row r="1" spans="1:4" ht="39.950000000000003" customHeight="1" x14ac:dyDescent="0.25">
      <c r="A1" s="36" t="s">
        <v>0</v>
      </c>
      <c r="B1" s="36"/>
      <c r="C1" s="36"/>
      <c r="D1" s="36"/>
    </row>
    <row r="2" spans="1:4" ht="21.95" customHeight="1" x14ac:dyDescent="0.25">
      <c r="A2" s="37" t="s">
        <v>258</v>
      </c>
      <c r="B2" s="37"/>
      <c r="C2" s="37"/>
      <c r="D2" s="37"/>
    </row>
    <row r="3" spans="1:4" x14ac:dyDescent="0.25">
      <c r="A3" s="38" t="s">
        <v>255</v>
      </c>
      <c r="B3" s="38"/>
      <c r="C3" s="38"/>
      <c r="D3" s="38"/>
    </row>
    <row r="5" spans="1:4" ht="32.1" customHeight="1" x14ac:dyDescent="0.25">
      <c r="A5" s="35" t="s">
        <v>1</v>
      </c>
      <c r="B5" s="35"/>
      <c r="C5" s="35"/>
      <c r="D5" s="35"/>
    </row>
    <row r="6" spans="1:4" ht="26.1" customHeight="1" x14ac:dyDescent="0.25">
      <c r="A6" s="1" t="s">
        <v>2</v>
      </c>
      <c r="B6" s="2" t="s">
        <v>3</v>
      </c>
      <c r="C6" s="1" t="s">
        <v>4</v>
      </c>
      <c r="D6" s="2" t="s">
        <v>5</v>
      </c>
    </row>
    <row r="7" spans="1:4" ht="26.1" customHeight="1" x14ac:dyDescent="0.25">
      <c r="A7" s="1" t="s">
        <v>6</v>
      </c>
      <c r="B7" s="2" t="s">
        <v>3</v>
      </c>
      <c r="C7" s="1" t="s">
        <v>7</v>
      </c>
      <c r="D7" s="2" t="s">
        <v>3</v>
      </c>
    </row>
    <row r="8" spans="1:4" ht="26.1" customHeight="1" x14ac:dyDescent="0.25">
      <c r="A8" s="1" t="s">
        <v>8</v>
      </c>
      <c r="B8" s="2" t="s">
        <v>3</v>
      </c>
      <c r="C8" s="1" t="s">
        <v>9</v>
      </c>
      <c r="D8" s="2" t="s">
        <v>3</v>
      </c>
    </row>
    <row r="9" spans="1:4" ht="26.1" customHeight="1" x14ac:dyDescent="0.25">
      <c r="A9" s="1" t="s">
        <v>10</v>
      </c>
      <c r="B9" s="2" t="s">
        <v>3</v>
      </c>
      <c r="C9" s="1" t="s">
        <v>11</v>
      </c>
      <c r="D9" s="2" t="s">
        <v>3</v>
      </c>
    </row>
    <row r="10" spans="1:4" ht="26.1" customHeight="1" x14ac:dyDescent="0.25">
      <c r="A10" s="1" t="s">
        <v>12</v>
      </c>
      <c r="B10" s="3"/>
      <c r="C10" s="1" t="s">
        <v>13</v>
      </c>
      <c r="D10" s="3"/>
    </row>
    <row r="12" spans="1:4" ht="32.1" customHeight="1" x14ac:dyDescent="0.25">
      <c r="A12" s="35" t="s">
        <v>14</v>
      </c>
      <c r="B12" s="35"/>
      <c r="C12" s="35"/>
      <c r="D12" s="35"/>
    </row>
    <row r="13" spans="1:4" ht="26.1" customHeight="1" x14ac:dyDescent="0.25">
      <c r="A13" s="4" t="s">
        <v>15</v>
      </c>
      <c r="B13" s="4" t="s">
        <v>16</v>
      </c>
      <c r="C13" s="4" t="s">
        <v>17</v>
      </c>
      <c r="D13" s="4" t="s">
        <v>18</v>
      </c>
    </row>
    <row r="14" spans="1:4" ht="21.95" customHeight="1" x14ac:dyDescent="0.25">
      <c r="A14" s="5">
        <v>1</v>
      </c>
      <c r="B14" s="6" t="s">
        <v>19</v>
      </c>
      <c r="C14" s="7"/>
      <c r="D14" s="8" t="s">
        <v>20</v>
      </c>
    </row>
    <row r="15" spans="1:4" ht="21.95" customHeight="1" x14ac:dyDescent="0.25">
      <c r="A15" s="9">
        <v>2</v>
      </c>
      <c r="B15" s="10" t="s">
        <v>21</v>
      </c>
      <c r="C15" s="11"/>
      <c r="D15" s="12" t="s">
        <v>22</v>
      </c>
    </row>
    <row r="16" spans="1:4" ht="21.95" customHeight="1" x14ac:dyDescent="0.25">
      <c r="A16" s="5">
        <v>3</v>
      </c>
      <c r="B16" s="6" t="s">
        <v>23</v>
      </c>
      <c r="C16" s="7"/>
      <c r="D16" s="8" t="s">
        <v>24</v>
      </c>
    </row>
    <row r="17" spans="1:4" ht="21.95" customHeight="1" x14ac:dyDescent="0.25">
      <c r="A17" s="9">
        <v>4</v>
      </c>
      <c r="B17" s="10" t="s">
        <v>25</v>
      </c>
      <c r="C17" s="11"/>
      <c r="D17" s="12" t="s">
        <v>26</v>
      </c>
    </row>
    <row r="18" spans="1:4" ht="21.95" customHeight="1" x14ac:dyDescent="0.25">
      <c r="A18" s="5">
        <v>5</v>
      </c>
      <c r="B18" s="6" t="s">
        <v>27</v>
      </c>
      <c r="C18" s="7"/>
      <c r="D18" s="8" t="s">
        <v>28</v>
      </c>
    </row>
    <row r="19" spans="1:4" ht="21.95" customHeight="1" x14ac:dyDescent="0.25">
      <c r="A19" s="9">
        <v>6</v>
      </c>
      <c r="B19" s="10" t="s">
        <v>29</v>
      </c>
      <c r="C19" s="11"/>
      <c r="D19" s="12" t="s">
        <v>30</v>
      </c>
    </row>
    <row r="20" spans="1:4" ht="21.95" customHeight="1" x14ac:dyDescent="0.25">
      <c r="A20" s="5">
        <v>7</v>
      </c>
      <c r="B20" s="6" t="s">
        <v>31</v>
      </c>
      <c r="C20" s="7"/>
      <c r="D20" s="8" t="s">
        <v>32</v>
      </c>
    </row>
    <row r="21" spans="1:4" ht="21.95" customHeight="1" x14ac:dyDescent="0.25">
      <c r="A21" s="9">
        <v>8</v>
      </c>
      <c r="B21" s="10" t="s">
        <v>33</v>
      </c>
      <c r="C21" s="11"/>
      <c r="D21" s="12" t="s">
        <v>34</v>
      </c>
    </row>
    <row r="22" spans="1:4" ht="21.95" customHeight="1" x14ac:dyDescent="0.25">
      <c r="A22" s="5">
        <v>9</v>
      </c>
      <c r="B22" s="6" t="s">
        <v>35</v>
      </c>
      <c r="C22" s="7"/>
      <c r="D22" s="8" t="s">
        <v>36</v>
      </c>
    </row>
    <row r="23" spans="1:4" ht="21.95" customHeight="1" x14ac:dyDescent="0.25">
      <c r="A23" s="9">
        <v>10</v>
      </c>
      <c r="B23" s="10" t="s">
        <v>37</v>
      </c>
      <c r="C23" s="11"/>
      <c r="D23" s="12" t="s">
        <v>38</v>
      </c>
    </row>
    <row r="24" spans="1:4" ht="21.95" customHeight="1" x14ac:dyDescent="0.25">
      <c r="A24" s="5">
        <v>11</v>
      </c>
      <c r="B24" s="6" t="s">
        <v>39</v>
      </c>
      <c r="C24" s="7"/>
      <c r="D24" s="8" t="s">
        <v>40</v>
      </c>
    </row>
    <row r="25" spans="1:4" ht="21.95" customHeight="1" x14ac:dyDescent="0.25">
      <c r="A25" s="9">
        <v>12</v>
      </c>
      <c r="B25" s="10" t="s">
        <v>41</v>
      </c>
      <c r="C25" s="11"/>
      <c r="D25" s="12" t="s">
        <v>42</v>
      </c>
    </row>
    <row r="26" spans="1:4" ht="21.95" customHeight="1" x14ac:dyDescent="0.25">
      <c r="A26" s="5">
        <v>13</v>
      </c>
      <c r="B26" s="6" t="s">
        <v>43</v>
      </c>
      <c r="C26" s="7"/>
      <c r="D26" s="8" t="s">
        <v>44</v>
      </c>
    </row>
    <row r="27" spans="1:4" ht="21.95" customHeight="1" x14ac:dyDescent="0.25">
      <c r="A27" s="9">
        <v>14</v>
      </c>
      <c r="B27" s="10" t="s">
        <v>45</v>
      </c>
      <c r="C27" s="11"/>
      <c r="D27" s="12" t="s">
        <v>46</v>
      </c>
    </row>
    <row r="28" spans="1:4" ht="21.95" customHeight="1" x14ac:dyDescent="0.25">
      <c r="A28" s="5">
        <v>15</v>
      </c>
      <c r="B28" s="6" t="s">
        <v>47</v>
      </c>
      <c r="C28" s="7"/>
      <c r="D28" s="8" t="s">
        <v>48</v>
      </c>
    </row>
    <row r="29" spans="1:4" ht="21.95" customHeight="1" x14ac:dyDescent="0.25">
      <c r="A29" s="9">
        <v>16</v>
      </c>
      <c r="B29" s="10" t="s">
        <v>49</v>
      </c>
      <c r="C29" s="11"/>
      <c r="D29" s="12" t="s">
        <v>50</v>
      </c>
    </row>
    <row r="30" spans="1:4" ht="21.95" customHeight="1" x14ac:dyDescent="0.25">
      <c r="A30" s="5">
        <v>17</v>
      </c>
      <c r="B30" s="6" t="s">
        <v>51</v>
      </c>
      <c r="C30" s="7"/>
      <c r="D30" s="8" t="s">
        <v>52</v>
      </c>
    </row>
    <row r="31" spans="1:4" ht="21.95" customHeight="1" x14ac:dyDescent="0.25">
      <c r="A31" s="9">
        <v>18</v>
      </c>
      <c r="B31" s="10" t="s">
        <v>53</v>
      </c>
      <c r="C31" s="11"/>
      <c r="D31" s="12" t="s">
        <v>54</v>
      </c>
    </row>
    <row r="32" spans="1:4" ht="21.95" customHeight="1" x14ac:dyDescent="0.25">
      <c r="A32" s="5">
        <v>19</v>
      </c>
      <c r="B32" s="6" t="s">
        <v>55</v>
      </c>
      <c r="C32" s="7"/>
      <c r="D32" s="8" t="s">
        <v>56</v>
      </c>
    </row>
    <row r="33" spans="1:4" ht="21.95" customHeight="1" x14ac:dyDescent="0.25">
      <c r="A33" s="9">
        <v>20</v>
      </c>
      <c r="B33" s="10" t="s">
        <v>57</v>
      </c>
      <c r="C33" s="11"/>
      <c r="D33" s="12" t="s">
        <v>58</v>
      </c>
    </row>
    <row r="34" spans="1:4" ht="21.95" customHeight="1" x14ac:dyDescent="0.25">
      <c r="A34" s="5">
        <v>21</v>
      </c>
      <c r="B34" s="6" t="s">
        <v>59</v>
      </c>
      <c r="C34" s="7"/>
      <c r="D34" s="8" t="s">
        <v>60</v>
      </c>
    </row>
    <row r="35" spans="1:4" ht="21.95" customHeight="1" x14ac:dyDescent="0.25">
      <c r="A35" s="9">
        <v>22</v>
      </c>
      <c r="B35" s="10" t="s">
        <v>61</v>
      </c>
      <c r="C35" s="11"/>
      <c r="D35" s="12" t="s">
        <v>62</v>
      </c>
    </row>
    <row r="36" spans="1:4" ht="21.95" customHeight="1" x14ac:dyDescent="0.25">
      <c r="A36" s="5">
        <v>23</v>
      </c>
      <c r="B36" s="6" t="s">
        <v>63</v>
      </c>
      <c r="C36" s="7"/>
      <c r="D36" s="8" t="s">
        <v>64</v>
      </c>
    </row>
    <row r="37" spans="1:4" ht="21.95" customHeight="1" x14ac:dyDescent="0.25">
      <c r="A37" s="9">
        <v>24</v>
      </c>
      <c r="B37" s="10" t="s">
        <v>65</v>
      </c>
      <c r="C37" s="11"/>
      <c r="D37" s="12" t="s">
        <v>3</v>
      </c>
    </row>
    <row r="39" spans="1:4" ht="32.1" customHeight="1" x14ac:dyDescent="0.25">
      <c r="A39" s="35" t="s">
        <v>66</v>
      </c>
      <c r="B39" s="35"/>
      <c r="C39" s="35"/>
      <c r="D39" s="35"/>
    </row>
    <row r="40" spans="1:4" ht="26.1" customHeight="1" x14ac:dyDescent="0.25">
      <c r="A40" s="1" t="s">
        <v>67</v>
      </c>
      <c r="B40" s="34" t="s">
        <v>68</v>
      </c>
      <c r="C40" s="34"/>
      <c r="D40" s="34"/>
    </row>
    <row r="41" spans="1:4" ht="26.1" customHeight="1" x14ac:dyDescent="0.25">
      <c r="A41" s="1" t="s">
        <v>69</v>
      </c>
      <c r="B41" s="34" t="s">
        <v>70</v>
      </c>
      <c r="C41" s="34"/>
      <c r="D41" s="34"/>
    </row>
    <row r="42" spans="1:4" ht="26.1" customHeight="1" x14ac:dyDescent="0.25">
      <c r="A42" s="1" t="s">
        <v>71</v>
      </c>
      <c r="B42" s="34" t="s">
        <v>72</v>
      </c>
      <c r="C42" s="34"/>
      <c r="D42" s="34"/>
    </row>
    <row r="43" spans="1:4" ht="26.1" customHeight="1" x14ac:dyDescent="0.25">
      <c r="A43" s="1" t="s">
        <v>73</v>
      </c>
      <c r="B43" s="34" t="s">
        <v>74</v>
      </c>
      <c r="C43" s="34"/>
      <c r="D43" s="34"/>
    </row>
    <row r="44" spans="1:4" ht="26.1" customHeight="1" x14ac:dyDescent="0.25">
      <c r="A44" s="1" t="s">
        <v>75</v>
      </c>
      <c r="B44" s="34" t="s">
        <v>76</v>
      </c>
      <c r="C44" s="34"/>
      <c r="D44" s="34"/>
    </row>
    <row r="45" spans="1:4" ht="26.1" customHeight="1" x14ac:dyDescent="0.25">
      <c r="A45" s="1" t="s">
        <v>77</v>
      </c>
      <c r="B45" s="34" t="s">
        <v>3</v>
      </c>
      <c r="C45" s="34"/>
      <c r="D45" s="34"/>
    </row>
    <row r="47" spans="1:4" ht="32.1" customHeight="1" x14ac:dyDescent="0.25">
      <c r="A47" s="35" t="s">
        <v>78</v>
      </c>
      <c r="B47" s="35"/>
      <c r="C47" s="35"/>
      <c r="D47" s="35"/>
    </row>
    <row r="48" spans="1:4" ht="20.100000000000001" customHeight="1" x14ac:dyDescent="0.25">
      <c r="A48" s="32" t="s">
        <v>79</v>
      </c>
      <c r="B48" s="32"/>
      <c r="C48" s="32"/>
      <c r="D48" s="32"/>
    </row>
    <row r="49" spans="1:4" ht="20.100000000000001" customHeight="1" x14ac:dyDescent="0.25">
      <c r="A49" s="32" t="s">
        <v>80</v>
      </c>
      <c r="B49" s="32"/>
      <c r="C49" s="32"/>
      <c r="D49" s="32"/>
    </row>
    <row r="50" spans="1:4" ht="20.100000000000001" customHeight="1" x14ac:dyDescent="0.25">
      <c r="A50" s="32" t="s">
        <v>81</v>
      </c>
      <c r="B50" s="32"/>
      <c r="C50" s="32"/>
      <c r="D50" s="32"/>
    </row>
    <row r="51" spans="1:4" ht="20.100000000000001" customHeight="1" x14ac:dyDescent="0.25">
      <c r="A51" s="32" t="s">
        <v>82</v>
      </c>
      <c r="B51" s="32"/>
      <c r="C51" s="32"/>
      <c r="D51" s="32"/>
    </row>
    <row r="52" spans="1:4" ht="20.100000000000001" customHeight="1" x14ac:dyDescent="0.25">
      <c r="A52" s="32" t="s">
        <v>83</v>
      </c>
      <c r="B52" s="32"/>
      <c r="C52" s="32"/>
      <c r="D52" s="32"/>
    </row>
    <row r="53" spans="1:4" ht="20.100000000000001" customHeight="1" x14ac:dyDescent="0.25">
      <c r="A53" s="32" t="s">
        <v>256</v>
      </c>
      <c r="B53" s="32"/>
      <c r="C53" s="32"/>
      <c r="D53" s="32"/>
    </row>
    <row r="56" spans="1:4" x14ac:dyDescent="0.25">
      <c r="A56" s="33" t="s">
        <v>84</v>
      </c>
      <c r="B56" s="33"/>
      <c r="C56" s="33" t="s">
        <v>85</v>
      </c>
      <c r="D56" s="33"/>
    </row>
    <row r="60" spans="1:4" x14ac:dyDescent="0.25">
      <c r="A60" s="31" t="s">
        <v>86</v>
      </c>
      <c r="B60" s="31"/>
      <c r="C60" s="31" t="s">
        <v>86</v>
      </c>
      <c r="D60" s="31"/>
    </row>
  </sheetData>
  <mergeCells count="23">
    <mergeCell ref="A1:D1"/>
    <mergeCell ref="A2:D2"/>
    <mergeCell ref="A3:D3"/>
    <mergeCell ref="A5:D5"/>
    <mergeCell ref="A12:D12"/>
    <mergeCell ref="A39:D39"/>
    <mergeCell ref="B40:D40"/>
    <mergeCell ref="B41:D41"/>
    <mergeCell ref="B42:D42"/>
    <mergeCell ref="B43:D43"/>
    <mergeCell ref="B44:D44"/>
    <mergeCell ref="B45:D45"/>
    <mergeCell ref="A47:D47"/>
    <mergeCell ref="A48:D48"/>
    <mergeCell ref="A49:D49"/>
    <mergeCell ref="A60:B60"/>
    <mergeCell ref="C60:D60"/>
    <mergeCell ref="A50:D50"/>
    <mergeCell ref="A51:D51"/>
    <mergeCell ref="A52:D52"/>
    <mergeCell ref="A53:D53"/>
    <mergeCell ref="A56:B56"/>
    <mergeCell ref="C56:D56"/>
  </mergeCells>
  <dataValidations count="3">
    <dataValidation type="list" allowBlank="1" sqref="B10" xr:uid="{00000000-0002-0000-0000-000000000000}">
      <formula1>"Landing Page,Web Giới Thiệu,Web Doanh Nghiệp,E-commerce,Web App,Booking,Blog - Tạp Chí"</formula1>
    </dataValidation>
    <dataValidation type="list" allowBlank="1" sqref="C14:C37" xr:uid="{00000000-0002-0000-0000-000001000000}">
      <formula1>"✓ Có,✗ Không"</formula1>
    </dataValidation>
    <dataValidation type="list" allowBlank="1" sqref="D10" xr:uid="{00000000-0002-0000-0000-000002000000}">
      <formula1>"Cơ bản (🟢),Phổ thông (🟢+🟡),Nâng cao (🟢+🟡+⚪)"</formula1>
    </dataValidation>
  </dataValidations>
  <pageMargins left="0.7" right="0.7" top="0.75" bottom="0.75" header="0.3" footer="0.3"/>
  <pageSetup paperSize="9"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66534"/>
  </sheetPr>
  <dimension ref="A1:E13"/>
  <sheetViews>
    <sheetView topLeftCell="A7" workbookViewId="0">
      <selection activeCell="C20" sqref="C20"/>
    </sheetView>
  </sheetViews>
  <sheetFormatPr defaultRowHeight="15" x14ac:dyDescent="0.25"/>
  <cols>
    <col min="1" max="1" width="5" customWidth="1"/>
    <col min="2" max="2" width="35" customWidth="1"/>
    <col min="3" max="3" width="24" customWidth="1"/>
    <col min="4" max="4" width="16" customWidth="1"/>
    <col min="5" max="5" width="30" customWidth="1"/>
  </cols>
  <sheetData>
    <row r="1" spans="1:5" ht="38.1" customHeight="1" x14ac:dyDescent="0.25">
      <c r="A1" s="40" t="s">
        <v>222</v>
      </c>
      <c r="B1" s="40"/>
      <c r="C1" s="40"/>
      <c r="D1" s="40"/>
      <c r="E1" s="40"/>
    </row>
    <row r="3" spans="1:5" ht="27.95" customHeight="1" x14ac:dyDescent="0.25">
      <c r="A3" s="24" t="s">
        <v>15</v>
      </c>
      <c r="B3" s="24" t="s">
        <v>223</v>
      </c>
      <c r="C3" s="24" t="s">
        <v>224</v>
      </c>
      <c r="D3" s="24" t="s">
        <v>225</v>
      </c>
      <c r="E3" s="24" t="s">
        <v>90</v>
      </c>
    </row>
    <row r="4" spans="1:5" ht="30" customHeight="1" x14ac:dyDescent="0.25">
      <c r="A4" s="5">
        <v>1</v>
      </c>
      <c r="B4" s="25" t="s">
        <v>226</v>
      </c>
      <c r="C4" s="26" t="s">
        <v>227</v>
      </c>
      <c r="D4" s="27" t="s">
        <v>228</v>
      </c>
      <c r="E4" s="8" t="s">
        <v>229</v>
      </c>
    </row>
    <row r="5" spans="1:5" ht="30" customHeight="1" x14ac:dyDescent="0.25">
      <c r="A5" s="9">
        <v>2</v>
      </c>
      <c r="B5" s="28" t="s">
        <v>230</v>
      </c>
      <c r="C5" s="29" t="s">
        <v>231</v>
      </c>
      <c r="D5" s="30" t="s">
        <v>232</v>
      </c>
      <c r="E5" s="12" t="s">
        <v>233</v>
      </c>
    </row>
    <row r="6" spans="1:5" ht="30" customHeight="1" x14ac:dyDescent="0.25">
      <c r="A6" s="5">
        <v>3</v>
      </c>
      <c r="B6" s="25" t="s">
        <v>234</v>
      </c>
      <c r="C6" s="26" t="s">
        <v>235</v>
      </c>
      <c r="D6" s="27" t="s">
        <v>236</v>
      </c>
      <c r="E6" s="8" t="s">
        <v>237</v>
      </c>
    </row>
    <row r="7" spans="1:5" ht="30" customHeight="1" x14ac:dyDescent="0.25">
      <c r="A7" s="9">
        <v>4</v>
      </c>
      <c r="B7" s="28" t="s">
        <v>238</v>
      </c>
      <c r="C7" s="29" t="s">
        <v>239</v>
      </c>
      <c r="D7" s="30" t="s">
        <v>240</v>
      </c>
      <c r="E7" s="12" t="s">
        <v>241</v>
      </c>
    </row>
    <row r="8" spans="1:5" ht="30" customHeight="1" x14ac:dyDescent="0.25">
      <c r="A8" s="5">
        <v>5</v>
      </c>
      <c r="B8" s="25" t="s">
        <v>242</v>
      </c>
      <c r="C8" s="26" t="s">
        <v>243</v>
      </c>
      <c r="D8" s="27" t="s">
        <v>244</v>
      </c>
      <c r="E8" s="8" t="s">
        <v>245</v>
      </c>
    </row>
    <row r="9" spans="1:5" ht="30" customHeight="1" x14ac:dyDescent="0.25">
      <c r="A9" s="9">
        <v>6</v>
      </c>
      <c r="B9" s="28" t="s">
        <v>246</v>
      </c>
      <c r="C9" s="29" t="s">
        <v>247</v>
      </c>
      <c r="D9" s="30" t="s">
        <v>248</v>
      </c>
      <c r="E9" s="12" t="s">
        <v>249</v>
      </c>
    </row>
    <row r="10" spans="1:5" ht="30" customHeight="1" x14ac:dyDescent="0.25">
      <c r="A10" s="5">
        <v>7</v>
      </c>
      <c r="B10" s="25" t="s">
        <v>250</v>
      </c>
      <c r="C10" s="26" t="s">
        <v>251</v>
      </c>
      <c r="D10" s="27" t="s">
        <v>252</v>
      </c>
      <c r="E10" s="8" t="s">
        <v>253</v>
      </c>
    </row>
    <row r="13" spans="1:5" ht="27.95" customHeight="1" x14ac:dyDescent="0.25">
      <c r="A13" s="48" t="s">
        <v>254</v>
      </c>
      <c r="B13" s="48"/>
      <c r="C13" s="48"/>
      <c r="D13" s="48"/>
      <c r="E13" s="48"/>
    </row>
  </sheetData>
  <mergeCells count="2">
    <mergeCell ref="A1:E1"/>
    <mergeCell ref="A13:E1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6B6B"/>
    <pageSetUpPr fitToPage="1"/>
  </sheetPr>
  <dimension ref="A1:F68"/>
  <sheetViews>
    <sheetView workbookViewId="0">
      <selection sqref="A1:F1"/>
    </sheetView>
  </sheetViews>
  <sheetFormatPr defaultRowHeight="15" x14ac:dyDescent="0.25"/>
  <cols>
    <col min="1" max="1" width="5" customWidth="1"/>
    <col min="2" max="2" width="38" customWidth="1"/>
    <col min="3" max="3" width="14" customWidth="1"/>
    <col min="4" max="4" width="12" customWidth="1"/>
    <col min="5" max="5" width="10" customWidth="1"/>
    <col min="6" max="6" width="28" customWidth="1"/>
  </cols>
  <sheetData>
    <row r="1" spans="1:6" ht="36" customHeight="1" x14ac:dyDescent="0.25">
      <c r="A1" s="40" t="s">
        <v>202</v>
      </c>
      <c r="B1" s="40"/>
      <c r="C1" s="40"/>
      <c r="D1" s="40"/>
      <c r="E1" s="40"/>
      <c r="F1" s="40"/>
    </row>
    <row r="3" spans="1:6" ht="26.1" customHeight="1" x14ac:dyDescent="0.25">
      <c r="A3" s="4" t="s">
        <v>15</v>
      </c>
      <c r="B3" s="4" t="s">
        <v>88</v>
      </c>
      <c r="C3" s="4" t="s">
        <v>203</v>
      </c>
      <c r="D3" s="4" t="s">
        <v>204</v>
      </c>
      <c r="E3" s="4" t="s">
        <v>89</v>
      </c>
      <c r="F3" s="4" t="s">
        <v>90</v>
      </c>
    </row>
    <row r="4" spans="1:6" ht="26.1" customHeight="1" x14ac:dyDescent="0.25">
      <c r="A4" s="39" t="s">
        <v>91</v>
      </c>
      <c r="B4" s="39"/>
      <c r="C4" s="39"/>
      <c r="D4" s="39"/>
      <c r="E4" s="39"/>
      <c r="F4" s="39"/>
    </row>
    <row r="5" spans="1:6" ht="24" customHeight="1" x14ac:dyDescent="0.25">
      <c r="A5" s="5">
        <v>1</v>
      </c>
      <c r="B5" s="6" t="s">
        <v>92</v>
      </c>
      <c r="C5" s="15" t="s">
        <v>205</v>
      </c>
      <c r="D5" s="7" t="str">
        <f>IF(AND('📋 Thông Tin'!$B$10="Landing Page",OR(C5="🟢 Bắt buộc",AND(C5="🟡 Nên có",OR('📋 Thông Tin'!$D$10="Phổ thông (🟢+🟡)",'📋 Thông Tin'!$D$10="Nâng cao (🟢+🟡+⚪)")),AND(C5="⚪ Tùy chọn",'📋 Thông Tin'!$D$10="Nâng cao (🟢+🟡+⚪)"))),"✓ Có","✗ Không")</f>
        <v>✗ Không</v>
      </c>
      <c r="E5" s="16">
        <f>IF(D5="✓ Có",VLOOKUP(B5,'Hệ Số'!B:C,2,FALSE),0)</f>
        <v>0</v>
      </c>
      <c r="F5" s="8" t="s">
        <v>3</v>
      </c>
    </row>
    <row r="6" spans="1:6" ht="24" customHeight="1" x14ac:dyDescent="0.25">
      <c r="A6" s="9">
        <v>2</v>
      </c>
      <c r="B6" s="10" t="s">
        <v>93</v>
      </c>
      <c r="C6" s="17" t="s">
        <v>206</v>
      </c>
      <c r="D6" s="11" t="str">
        <f>IF(AND('📋 Thông Tin'!$B$10="Landing Page",OR(C6="🟢 Bắt buộc",AND(C6="🟡 Nên có",OR('📋 Thông Tin'!$D$10="Phổ thông (🟢+🟡)",'📋 Thông Tin'!$D$10="Nâng cao (🟢+🟡+⚪)")),AND(C6="⚪ Tùy chọn",'📋 Thông Tin'!$D$10="Nâng cao (🟢+🟡+⚪)"))),"✓ Có","✗ Không")</f>
        <v>✗ Không</v>
      </c>
      <c r="E6" s="18">
        <f>IF(D6="✓ Có",VLOOKUP(B6,'Hệ Số'!B:C,2,FALSE),0)</f>
        <v>0</v>
      </c>
      <c r="F6" s="12" t="s">
        <v>3</v>
      </c>
    </row>
    <row r="7" spans="1:6" ht="24" customHeight="1" x14ac:dyDescent="0.25">
      <c r="A7" s="5">
        <v>3</v>
      </c>
      <c r="B7" s="6" t="s">
        <v>94</v>
      </c>
      <c r="C7" s="15" t="s">
        <v>205</v>
      </c>
      <c r="D7" s="7" t="str">
        <f>IF(AND('📋 Thông Tin'!$B$10="Landing Page",OR(C7="🟢 Bắt buộc",AND(C7="🟡 Nên có",OR('📋 Thông Tin'!$D$10="Phổ thông (🟢+🟡)",'📋 Thông Tin'!$D$10="Nâng cao (🟢+🟡+⚪)")),AND(C7="⚪ Tùy chọn",'📋 Thông Tin'!$D$10="Nâng cao (🟢+🟡+⚪)"))),"✓ Có","✗ Không")</f>
        <v>✗ Không</v>
      </c>
      <c r="E7" s="16">
        <f>IF(D7="✓ Có",VLOOKUP(B7,'Hệ Số'!B:C,2,FALSE),0)</f>
        <v>0</v>
      </c>
      <c r="F7" s="8" t="s">
        <v>3</v>
      </c>
    </row>
    <row r="8" spans="1:6" ht="24" customHeight="1" x14ac:dyDescent="0.25">
      <c r="A8" s="9">
        <v>4</v>
      </c>
      <c r="B8" s="10" t="s">
        <v>95</v>
      </c>
      <c r="C8" s="15" t="s">
        <v>205</v>
      </c>
      <c r="D8" s="11" t="str">
        <f>IF(AND('📋 Thông Tin'!$B$10="Landing Page",OR(C8="🟢 Bắt buộc",AND(C8="🟡 Nên có",OR('📋 Thông Tin'!$D$10="Phổ thông (🟢+🟡)",'📋 Thông Tin'!$D$10="Nâng cao (🟢+🟡+⚪)")),AND(C8="⚪ Tùy chọn",'📋 Thông Tin'!$D$10="Nâng cao (🟢+🟡+⚪)"))),"✓ Có","✗ Không")</f>
        <v>✗ Không</v>
      </c>
      <c r="E8" s="18">
        <f>IF(D8="✓ Có",VLOOKUP(B8,'Hệ Số'!B:C,2,FALSE),0)</f>
        <v>0</v>
      </c>
      <c r="F8" s="12" t="s">
        <v>3</v>
      </c>
    </row>
    <row r="9" spans="1:6" ht="24" customHeight="1" x14ac:dyDescent="0.25">
      <c r="A9" s="5">
        <v>5</v>
      </c>
      <c r="B9" s="6" t="s">
        <v>96</v>
      </c>
      <c r="C9" s="15" t="s">
        <v>205</v>
      </c>
      <c r="D9" s="7" t="str">
        <f>IF(AND('📋 Thông Tin'!$B$10="Landing Page",OR(C9="🟢 Bắt buộc",AND(C9="🟡 Nên có",OR('📋 Thông Tin'!$D$10="Phổ thông (🟢+🟡)",'📋 Thông Tin'!$D$10="Nâng cao (🟢+🟡+⚪)")),AND(C9="⚪ Tùy chọn",'📋 Thông Tin'!$D$10="Nâng cao (🟢+🟡+⚪)"))),"✓ Có","✗ Không")</f>
        <v>✗ Không</v>
      </c>
      <c r="E9" s="16">
        <f>IF(D9="✓ Có",VLOOKUP(B9,'Hệ Số'!B:C,2,FALSE),0)</f>
        <v>0</v>
      </c>
      <c r="F9" s="8" t="s">
        <v>97</v>
      </c>
    </row>
    <row r="10" spans="1:6" ht="24" customHeight="1" x14ac:dyDescent="0.25">
      <c r="A10" s="9">
        <v>6</v>
      </c>
      <c r="B10" s="10" t="s">
        <v>98</v>
      </c>
      <c r="C10" s="15" t="s">
        <v>205</v>
      </c>
      <c r="D10" s="11" t="str">
        <f>IF(AND('📋 Thông Tin'!$B$10="Landing Page",OR(C10="🟢 Bắt buộc",AND(C10="🟡 Nên có",OR('📋 Thông Tin'!$D$10="Phổ thông (🟢+🟡)",'📋 Thông Tin'!$D$10="Nâng cao (🟢+🟡+⚪)")),AND(C10="⚪ Tùy chọn",'📋 Thông Tin'!$D$10="Nâng cao (🟢+🟡+⚪)"))),"✓ Có","✗ Không")</f>
        <v>✗ Không</v>
      </c>
      <c r="E10" s="18">
        <f>IF(D10="✓ Có",VLOOKUP(B10,'Hệ Số'!B:C,2,FALSE),0)</f>
        <v>0</v>
      </c>
      <c r="F10" s="12" t="s">
        <v>3</v>
      </c>
    </row>
    <row r="11" spans="1:6" ht="24" customHeight="1" x14ac:dyDescent="0.25">
      <c r="A11" s="5">
        <v>7</v>
      </c>
      <c r="B11" s="6" t="s">
        <v>99</v>
      </c>
      <c r="C11" s="19" t="s">
        <v>207</v>
      </c>
      <c r="D11" s="7" t="str">
        <f>IF(AND('📋 Thông Tin'!$B$10="Landing Page",OR(C11="🟢 Bắt buộc",AND(C11="🟡 Nên có",OR('📋 Thông Tin'!$D$10="Phổ thông (🟢+🟡)",'📋 Thông Tin'!$D$10="Nâng cao (🟢+🟡+⚪)")),AND(C11="⚪ Tùy chọn",'📋 Thông Tin'!$D$10="Nâng cao (🟢+🟡+⚪)"))),"✓ Có","✗ Không")</f>
        <v>✗ Không</v>
      </c>
      <c r="E11" s="16">
        <f>IF(D11="✓ Có",VLOOKUP(B11,'Hệ Số'!B:C,2,FALSE),0)</f>
        <v>0</v>
      </c>
      <c r="F11" s="8" t="s">
        <v>100</v>
      </c>
    </row>
    <row r="12" spans="1:6" ht="24" customHeight="1" x14ac:dyDescent="0.25">
      <c r="A12" s="9">
        <v>8</v>
      </c>
      <c r="B12" s="10" t="s">
        <v>101</v>
      </c>
      <c r="C12" s="17" t="s">
        <v>206</v>
      </c>
      <c r="D12" s="11" t="str">
        <f>IF(AND('📋 Thông Tin'!$B$10="Landing Page",OR(C12="🟢 Bắt buộc",AND(C12="🟡 Nên có",OR('📋 Thông Tin'!$D$10="Phổ thông (🟢+🟡)",'📋 Thông Tin'!$D$10="Nâng cao (🟢+🟡+⚪)")),AND(C12="⚪ Tùy chọn",'📋 Thông Tin'!$D$10="Nâng cao (🟢+🟡+⚪)"))),"✓ Có","✗ Không")</f>
        <v>✗ Không</v>
      </c>
      <c r="E12" s="18">
        <f>IF(D12="✓ Có",VLOOKUP(B12,'Hệ Số'!B:C,2,FALSE),0)</f>
        <v>0</v>
      </c>
      <c r="F12" s="12" t="s">
        <v>3</v>
      </c>
    </row>
    <row r="13" spans="1:6" ht="24" customHeight="1" x14ac:dyDescent="0.25">
      <c r="A13" s="5">
        <v>9</v>
      </c>
      <c r="B13" s="6" t="s">
        <v>102</v>
      </c>
      <c r="C13" s="19" t="s">
        <v>207</v>
      </c>
      <c r="D13" s="7" t="str">
        <f>IF(AND('📋 Thông Tin'!$B$10="Landing Page",OR(C13="🟢 Bắt buộc",AND(C13="🟡 Nên có",OR('📋 Thông Tin'!$D$10="Phổ thông (🟢+🟡)",'📋 Thông Tin'!$D$10="Nâng cao (🟢+🟡+⚪)")),AND(C13="⚪ Tùy chọn",'📋 Thông Tin'!$D$10="Nâng cao (🟢+🟡+⚪)"))),"✓ Có","✗ Không")</f>
        <v>✗ Không</v>
      </c>
      <c r="E13" s="16">
        <f>IF(D13="✓ Có",VLOOKUP(B13,'Hệ Số'!B:C,2,FALSE),0)</f>
        <v>0</v>
      </c>
      <c r="F13" s="8" t="s">
        <v>103</v>
      </c>
    </row>
    <row r="14" spans="1:6" ht="26.1" customHeight="1" x14ac:dyDescent="0.25">
      <c r="A14" s="39" t="s">
        <v>104</v>
      </c>
      <c r="B14" s="39"/>
      <c r="C14" s="39"/>
      <c r="D14" s="39"/>
      <c r="E14" s="39"/>
      <c r="F14" s="39"/>
    </row>
    <row r="15" spans="1:6" ht="24" customHeight="1" x14ac:dyDescent="0.25">
      <c r="A15" s="9">
        <v>10</v>
      </c>
      <c r="B15" s="10" t="s">
        <v>109</v>
      </c>
      <c r="C15" s="19" t="s">
        <v>207</v>
      </c>
      <c r="D15" s="11" t="str">
        <f>IF(AND('📋 Thông Tin'!$B$10="Landing Page",OR(C15="🟢 Bắt buộc",AND(C15="🟡 Nên có",OR('📋 Thông Tin'!$D$10="Phổ thông (🟢+🟡)",'📋 Thông Tin'!$D$10="Nâng cao (🟢+🟡+⚪)")),AND(C15="⚪ Tùy chọn",'📋 Thông Tin'!$D$10="Nâng cao (🟢+🟡+⚪)"))),"✓ Có","✗ Không")</f>
        <v>✗ Không</v>
      </c>
      <c r="E15" s="18">
        <f>IF(D15="✓ Có",VLOOKUP(B15,'Hệ Số'!B:C,2,FALSE),0)</f>
        <v>0</v>
      </c>
      <c r="F15" s="12" t="s">
        <v>110</v>
      </c>
    </row>
    <row r="16" spans="1:6" ht="24" customHeight="1" x14ac:dyDescent="0.25">
      <c r="A16" s="5">
        <v>11</v>
      </c>
      <c r="B16" s="6" t="s">
        <v>111</v>
      </c>
      <c r="C16" s="20" t="s">
        <v>206</v>
      </c>
      <c r="D16" s="7" t="str">
        <f>IF(AND('📋 Thông Tin'!$B$10="Landing Page",OR(C16="🟢 Bắt buộc",AND(C16="🟡 Nên có",OR('📋 Thông Tin'!$D$10="Phổ thông (🟢+🟡)",'📋 Thông Tin'!$D$10="Nâng cao (🟢+🟡+⚪)")),AND(C16="⚪ Tùy chọn",'📋 Thông Tin'!$D$10="Nâng cao (🟢+🟡+⚪)"))),"✓ Có","✗ Không")</f>
        <v>✗ Không</v>
      </c>
      <c r="E16" s="16">
        <f>IF(D16="✓ Có",VLOOKUP(B16,'Hệ Số'!B:C,2,FALSE),0)</f>
        <v>0</v>
      </c>
      <c r="F16" s="8" t="s">
        <v>112</v>
      </c>
    </row>
    <row r="17" spans="1:6" ht="24" customHeight="1" x14ac:dyDescent="0.25">
      <c r="A17" s="9">
        <v>12</v>
      </c>
      <c r="B17" s="10" t="s">
        <v>113</v>
      </c>
      <c r="C17" s="17" t="s">
        <v>206</v>
      </c>
      <c r="D17" s="11" t="str">
        <f>IF(AND('📋 Thông Tin'!$B$10="Landing Page",OR(C17="🟢 Bắt buộc",AND(C17="🟡 Nên có",OR('📋 Thông Tin'!$D$10="Phổ thông (🟢+🟡)",'📋 Thông Tin'!$D$10="Nâng cao (🟢+🟡+⚪)")),AND(C17="⚪ Tùy chọn",'📋 Thông Tin'!$D$10="Nâng cao (🟢+🟡+⚪)"))),"✓ Có","✗ Không")</f>
        <v>✗ Không</v>
      </c>
      <c r="E17" s="18">
        <f>IF(D17="✓ Có",VLOOKUP(B17,'Hệ Số'!B:C,2,FALSE),0)</f>
        <v>0</v>
      </c>
      <c r="F17" s="12" t="s">
        <v>114</v>
      </c>
    </row>
    <row r="18" spans="1:6" ht="24" customHeight="1" x14ac:dyDescent="0.25">
      <c r="A18" s="5">
        <v>13</v>
      </c>
      <c r="B18" s="6" t="s">
        <v>115</v>
      </c>
      <c r="C18" s="20" t="s">
        <v>206</v>
      </c>
      <c r="D18" s="7" t="str">
        <f>IF(AND('📋 Thông Tin'!$B$10="Landing Page",OR(C18="🟢 Bắt buộc",AND(C18="🟡 Nên có",OR('📋 Thông Tin'!$D$10="Phổ thông (🟢+🟡)",'📋 Thông Tin'!$D$10="Nâng cao (🟢+🟡+⚪)")),AND(C18="⚪ Tùy chọn",'📋 Thông Tin'!$D$10="Nâng cao (🟢+🟡+⚪)"))),"✓ Có","✗ Không")</f>
        <v>✗ Không</v>
      </c>
      <c r="E18" s="16">
        <f>IF(D18="✓ Có",VLOOKUP(B18,'Hệ Số'!B:C,2,FALSE),0)</f>
        <v>0</v>
      </c>
      <c r="F18" s="8" t="s">
        <v>116</v>
      </c>
    </row>
    <row r="19" spans="1:6" ht="24" customHeight="1" x14ac:dyDescent="0.25">
      <c r="A19" s="9">
        <v>14</v>
      </c>
      <c r="B19" s="10" t="s">
        <v>117</v>
      </c>
      <c r="C19" s="19" t="s">
        <v>207</v>
      </c>
      <c r="D19" s="11" t="str">
        <f>IF(AND('📋 Thông Tin'!$B$10="Landing Page",OR(C19="🟢 Bắt buộc",AND(C19="🟡 Nên có",OR('📋 Thông Tin'!$D$10="Phổ thông (🟢+🟡)",'📋 Thông Tin'!$D$10="Nâng cao (🟢+🟡+⚪)")),AND(C19="⚪ Tùy chọn",'📋 Thông Tin'!$D$10="Nâng cao (🟢+🟡+⚪)"))),"✓ Có","✗ Không")</f>
        <v>✗ Không</v>
      </c>
      <c r="E19" s="18">
        <f>IF(D19="✓ Có",VLOOKUP(B19,'Hệ Số'!B:C,2,FALSE),0)</f>
        <v>0</v>
      </c>
      <c r="F19" s="12" t="s">
        <v>118</v>
      </c>
    </row>
    <row r="20" spans="1:6" ht="24" customHeight="1" x14ac:dyDescent="0.25">
      <c r="A20" s="5">
        <v>15</v>
      </c>
      <c r="B20" s="6" t="s">
        <v>119</v>
      </c>
      <c r="C20" s="20" t="s">
        <v>206</v>
      </c>
      <c r="D20" s="7" t="str">
        <f>IF(AND('📋 Thông Tin'!$B$10="Landing Page",OR(C20="🟢 Bắt buộc",AND(C20="🟡 Nên có",OR('📋 Thông Tin'!$D$10="Phổ thông (🟢+🟡)",'📋 Thông Tin'!$D$10="Nâng cao (🟢+🟡+⚪)")),AND(C20="⚪ Tùy chọn",'📋 Thông Tin'!$D$10="Nâng cao (🟢+🟡+⚪)"))),"✓ Có","✗ Không")</f>
        <v>✗ Không</v>
      </c>
      <c r="E20" s="16">
        <f>IF(D20="✓ Có",VLOOKUP(B20,'Hệ Số'!B:C,2,FALSE),0)</f>
        <v>0</v>
      </c>
      <c r="F20" s="8" t="s">
        <v>3</v>
      </c>
    </row>
    <row r="21" spans="1:6" ht="24" customHeight="1" x14ac:dyDescent="0.25">
      <c r="A21" s="9">
        <v>16</v>
      </c>
      <c r="B21" s="10" t="s">
        <v>120</v>
      </c>
      <c r="C21" s="17" t="s">
        <v>206</v>
      </c>
      <c r="D21" s="11" t="str">
        <f>IF(AND('📋 Thông Tin'!$B$10="Landing Page",OR(C21="🟢 Bắt buộc",AND(C21="🟡 Nên có",OR('📋 Thông Tin'!$D$10="Phổ thông (🟢+🟡)",'📋 Thông Tin'!$D$10="Nâng cao (🟢+🟡+⚪)")),AND(C21="⚪ Tùy chọn",'📋 Thông Tin'!$D$10="Nâng cao (🟢+🟡+⚪)"))),"✓ Có","✗ Không")</f>
        <v>✗ Không</v>
      </c>
      <c r="E21" s="18">
        <f>IF(D21="✓ Có",VLOOKUP(B21,'Hệ Số'!B:C,2,FALSE),0)</f>
        <v>0</v>
      </c>
      <c r="F21" s="12" t="s">
        <v>121</v>
      </c>
    </row>
    <row r="22" spans="1:6" ht="26.1" customHeight="1" x14ac:dyDescent="0.25">
      <c r="A22" s="39" t="s">
        <v>124</v>
      </c>
      <c r="B22" s="39"/>
      <c r="C22" s="39"/>
      <c r="D22" s="39"/>
      <c r="E22" s="39"/>
      <c r="F22" s="39"/>
    </row>
    <row r="23" spans="1:6" ht="24" customHeight="1" x14ac:dyDescent="0.25">
      <c r="A23" s="5">
        <v>17</v>
      </c>
      <c r="B23" s="6" t="s">
        <v>125</v>
      </c>
      <c r="C23" s="20" t="s">
        <v>206</v>
      </c>
      <c r="D23" s="7" t="str">
        <f>IF(AND('📋 Thông Tin'!$B$10="Landing Page",OR(C23="🟢 Bắt buộc",AND(C23="🟡 Nên có",OR('📋 Thông Tin'!$D$10="Phổ thông (🟢+🟡)",'📋 Thông Tin'!$D$10="Nâng cao (🟢+🟡+⚪)")),AND(C23="⚪ Tùy chọn",'📋 Thông Tin'!$D$10="Nâng cao (🟢+🟡+⚪)"))),"✓ Có","✗ Không")</f>
        <v>✗ Không</v>
      </c>
      <c r="E23" s="16">
        <f>IF(D23="✓ Có",VLOOKUP(B23,'Hệ Số'!B:C,2,FALSE),0)</f>
        <v>0</v>
      </c>
      <c r="F23" s="8" t="s">
        <v>126</v>
      </c>
    </row>
    <row r="24" spans="1:6" ht="26.1" customHeight="1" x14ac:dyDescent="0.25">
      <c r="A24" s="39" t="s">
        <v>137</v>
      </c>
      <c r="B24" s="39"/>
      <c r="C24" s="39"/>
      <c r="D24" s="39"/>
      <c r="E24" s="39"/>
      <c r="F24" s="39"/>
    </row>
    <row r="25" spans="1:6" ht="24" customHeight="1" x14ac:dyDescent="0.25">
      <c r="A25" s="9">
        <v>18</v>
      </c>
      <c r="B25" s="10" t="s">
        <v>138</v>
      </c>
      <c r="C25" s="17" t="s">
        <v>206</v>
      </c>
      <c r="D25" s="11" t="str">
        <f>IF(AND('📋 Thông Tin'!$B$10="Landing Page",OR(C25="🟢 Bắt buộc",AND(C25="🟡 Nên có",OR('📋 Thông Tin'!$D$10="Phổ thông (🟢+🟡)",'📋 Thông Tin'!$D$10="Nâng cao (🟢+🟡+⚪)")),AND(C25="⚪ Tùy chọn",'📋 Thông Tin'!$D$10="Nâng cao (🟢+🟡+⚪)"))),"✓ Có","✗ Không")</f>
        <v>✗ Không</v>
      </c>
      <c r="E25" s="18">
        <f>IF(D25="✓ Có",VLOOKUP(B25,'Hệ Số'!B:C,2,FALSE),0)</f>
        <v>0</v>
      </c>
      <c r="F25" s="12" t="s">
        <v>139</v>
      </c>
    </row>
    <row r="26" spans="1:6" ht="26.1" customHeight="1" x14ac:dyDescent="0.25">
      <c r="A26" s="39" t="s">
        <v>154</v>
      </c>
      <c r="B26" s="39"/>
      <c r="C26" s="39"/>
      <c r="D26" s="39"/>
      <c r="E26" s="39"/>
      <c r="F26" s="39"/>
    </row>
    <row r="27" spans="1:6" ht="24" customHeight="1" x14ac:dyDescent="0.25">
      <c r="A27" s="5">
        <v>19</v>
      </c>
      <c r="B27" s="6" t="s">
        <v>155</v>
      </c>
      <c r="C27" s="19" t="s">
        <v>207</v>
      </c>
      <c r="D27" s="7" t="str">
        <f>IF(AND('📋 Thông Tin'!$B$10="Landing Page",OR(C27="🟢 Bắt buộc",AND(C27="🟡 Nên có",OR('📋 Thông Tin'!$D$10="Phổ thông (🟢+🟡)",'📋 Thông Tin'!$D$10="Nâng cao (🟢+🟡+⚪)")),AND(C27="⚪ Tùy chọn",'📋 Thông Tin'!$D$10="Nâng cao (🟢+🟡+⚪)"))),"✓ Có","✗ Không")</f>
        <v>✗ Không</v>
      </c>
      <c r="E27" s="16">
        <f>IF(D27="✓ Có",VLOOKUP(B27,'Hệ Số'!B:C,2,FALSE),0)</f>
        <v>0</v>
      </c>
      <c r="F27" s="8" t="s">
        <v>156</v>
      </c>
    </row>
    <row r="28" spans="1:6" ht="24" customHeight="1" x14ac:dyDescent="0.25">
      <c r="A28" s="9">
        <v>20</v>
      </c>
      <c r="B28" s="10" t="s">
        <v>159</v>
      </c>
      <c r="C28" s="17" t="s">
        <v>206</v>
      </c>
      <c r="D28" s="11" t="str">
        <f>IF(AND('📋 Thông Tin'!$B$10="Landing Page",OR(C28="🟢 Bắt buộc",AND(C28="🟡 Nên có",OR('📋 Thông Tin'!$D$10="Phổ thông (🟢+🟡)",'📋 Thông Tin'!$D$10="Nâng cao (🟢+🟡+⚪)")),AND(C28="⚪ Tùy chọn",'📋 Thông Tin'!$D$10="Nâng cao (🟢+🟡+⚪)"))),"✓ Có","✗ Không")</f>
        <v>✗ Không</v>
      </c>
      <c r="E28" s="18">
        <f>IF(D28="✓ Có",VLOOKUP(B28,'Hệ Số'!B:C,2,FALSE),0)</f>
        <v>0</v>
      </c>
      <c r="F28" s="12" t="s">
        <v>160</v>
      </c>
    </row>
    <row r="29" spans="1:6" ht="26.1" customHeight="1" x14ac:dyDescent="0.25">
      <c r="A29" s="39" t="s">
        <v>164</v>
      </c>
      <c r="B29" s="39"/>
      <c r="C29" s="39"/>
      <c r="D29" s="39"/>
      <c r="E29" s="39"/>
      <c r="F29" s="39"/>
    </row>
    <row r="30" spans="1:6" ht="24" customHeight="1" x14ac:dyDescent="0.25">
      <c r="A30" s="5">
        <v>21</v>
      </c>
      <c r="B30" s="6" t="s">
        <v>165</v>
      </c>
      <c r="C30" s="15" t="s">
        <v>205</v>
      </c>
      <c r="D30" s="7" t="str">
        <f>IF(AND('📋 Thông Tin'!$B$10="Landing Page",OR(C30="🟢 Bắt buộc",AND(C30="🟡 Nên có",OR('📋 Thông Tin'!$D$10="Phổ thông (🟢+🟡)",'📋 Thông Tin'!$D$10="Nâng cao (🟢+🟡+⚪)")),AND(C30="⚪ Tùy chọn",'📋 Thông Tin'!$D$10="Nâng cao (🟢+🟡+⚪)"))),"✓ Có","✗ Không")</f>
        <v>✗ Không</v>
      </c>
      <c r="E30" s="16">
        <f>IF(D30="✓ Có",VLOOKUP(B30,'Hệ Số'!B:C,2,FALSE),0)</f>
        <v>0</v>
      </c>
      <c r="F30" s="8" t="s">
        <v>3</v>
      </c>
    </row>
    <row r="31" spans="1:6" ht="24" customHeight="1" x14ac:dyDescent="0.25">
      <c r="A31" s="9">
        <v>22</v>
      </c>
      <c r="B31" s="10" t="s">
        <v>166</v>
      </c>
      <c r="C31" s="15" t="s">
        <v>205</v>
      </c>
      <c r="D31" s="11" t="str">
        <f>IF(AND('📋 Thông Tin'!$B$10="Landing Page",OR(C31="🟢 Bắt buộc",AND(C31="🟡 Nên có",OR('📋 Thông Tin'!$D$10="Phổ thông (🟢+🟡)",'📋 Thông Tin'!$D$10="Nâng cao (🟢+🟡+⚪)")),AND(C31="⚪ Tùy chọn",'📋 Thông Tin'!$D$10="Nâng cao (🟢+🟡+⚪)"))),"✓ Có","✗ Không")</f>
        <v>✗ Không</v>
      </c>
      <c r="E31" s="18">
        <f>IF(D31="✓ Có",VLOOKUP(B31,'Hệ Số'!B:C,2,FALSE),0)</f>
        <v>0</v>
      </c>
      <c r="F31" s="12" t="s">
        <v>3</v>
      </c>
    </row>
    <row r="32" spans="1:6" ht="24" customHeight="1" x14ac:dyDescent="0.25">
      <c r="A32" s="5">
        <v>23</v>
      </c>
      <c r="B32" s="6" t="s">
        <v>167</v>
      </c>
      <c r="C32" s="20" t="s">
        <v>206</v>
      </c>
      <c r="D32" s="7" t="str">
        <f>IF(AND('📋 Thông Tin'!$B$10="Landing Page",OR(C32="🟢 Bắt buộc",AND(C32="🟡 Nên có",OR('📋 Thông Tin'!$D$10="Phổ thông (🟢+🟡)",'📋 Thông Tin'!$D$10="Nâng cao (🟢+🟡+⚪)")),AND(C32="⚪ Tùy chọn",'📋 Thông Tin'!$D$10="Nâng cao (🟢+🟡+⚪)"))),"✓ Có","✗ Không")</f>
        <v>✗ Không</v>
      </c>
      <c r="E32" s="16">
        <f>IF(D32="✓ Có",VLOOKUP(B32,'Hệ Số'!B:C,2,FALSE),0)</f>
        <v>0</v>
      </c>
      <c r="F32" s="8" t="s">
        <v>168</v>
      </c>
    </row>
    <row r="33" spans="1:6" ht="24" customHeight="1" x14ac:dyDescent="0.25">
      <c r="A33" s="9">
        <v>24</v>
      </c>
      <c r="B33" s="10" t="s">
        <v>169</v>
      </c>
      <c r="C33" s="19" t="s">
        <v>207</v>
      </c>
      <c r="D33" s="11" t="str">
        <f>IF(AND('📋 Thông Tin'!$B$10="Landing Page",OR(C33="🟢 Bắt buộc",AND(C33="🟡 Nên có",OR('📋 Thông Tin'!$D$10="Phổ thông (🟢+🟡)",'📋 Thông Tin'!$D$10="Nâng cao (🟢+🟡+⚪)")),AND(C33="⚪ Tùy chọn",'📋 Thông Tin'!$D$10="Nâng cao (🟢+🟡+⚪)"))),"✓ Có","✗ Không")</f>
        <v>✗ Không</v>
      </c>
      <c r="E33" s="18">
        <f>IF(D33="✓ Có",VLOOKUP(B33,'Hệ Số'!B:C,2,FALSE),0)</f>
        <v>0</v>
      </c>
      <c r="F33" s="12" t="s">
        <v>3</v>
      </c>
    </row>
    <row r="34" spans="1:6" ht="24" customHeight="1" x14ac:dyDescent="0.25">
      <c r="A34" s="5">
        <v>25</v>
      </c>
      <c r="B34" s="6" t="s">
        <v>170</v>
      </c>
      <c r="C34" s="19" t="s">
        <v>207</v>
      </c>
      <c r="D34" s="7" t="str">
        <f>IF(AND('📋 Thông Tin'!$B$10="Landing Page",OR(C34="🟢 Bắt buộc",AND(C34="🟡 Nên có",OR('📋 Thông Tin'!$D$10="Phổ thông (🟢+🟡)",'📋 Thông Tin'!$D$10="Nâng cao (🟢+🟡+⚪)")),AND(C34="⚪ Tùy chọn",'📋 Thông Tin'!$D$10="Nâng cao (🟢+🟡+⚪)"))),"✓ Có","✗ Không")</f>
        <v>✗ Không</v>
      </c>
      <c r="E34" s="16">
        <f>IF(D34="✓ Có",VLOOKUP(B34,'Hệ Số'!B:C,2,FALSE),0)</f>
        <v>0</v>
      </c>
      <c r="F34" s="8" t="s">
        <v>3</v>
      </c>
    </row>
    <row r="35" spans="1:6" ht="24" customHeight="1" x14ac:dyDescent="0.25">
      <c r="A35" s="9">
        <v>26</v>
      </c>
      <c r="B35" s="10" t="s">
        <v>171</v>
      </c>
      <c r="C35" s="17" t="s">
        <v>206</v>
      </c>
      <c r="D35" s="11" t="str">
        <f>IF(AND('📋 Thông Tin'!$B$10="Landing Page",OR(C35="🟢 Bắt buộc",AND(C35="🟡 Nên có",OR('📋 Thông Tin'!$D$10="Phổ thông (🟢+🟡)",'📋 Thông Tin'!$D$10="Nâng cao (🟢+🟡+⚪)")),AND(C35="⚪ Tùy chọn",'📋 Thông Tin'!$D$10="Nâng cao (🟢+🟡+⚪)"))),"✓ Có","✗ Không")</f>
        <v>✗ Không</v>
      </c>
      <c r="E35" s="18">
        <f>IF(D35="✓ Có",VLOOKUP(B35,'Hệ Số'!B:C,2,FALSE),0)</f>
        <v>0</v>
      </c>
      <c r="F35" s="12" t="s">
        <v>3</v>
      </c>
    </row>
    <row r="36" spans="1:6" ht="24" customHeight="1" x14ac:dyDescent="0.25">
      <c r="A36" s="5">
        <v>27</v>
      </c>
      <c r="B36" s="6" t="s">
        <v>172</v>
      </c>
      <c r="C36" s="15" t="s">
        <v>205</v>
      </c>
      <c r="D36" s="7" t="str">
        <f>IF(AND('📋 Thông Tin'!$B$10="Landing Page",OR(C36="🟢 Bắt buộc",AND(C36="🟡 Nên có",OR('📋 Thông Tin'!$D$10="Phổ thông (🟢+🟡)",'📋 Thông Tin'!$D$10="Nâng cao (🟢+🟡+⚪)")),AND(C36="⚪ Tùy chọn",'📋 Thông Tin'!$D$10="Nâng cao (🟢+🟡+⚪)"))),"✓ Có","✗ Không")</f>
        <v>✗ Không</v>
      </c>
      <c r="E36" s="16">
        <f>IF(D36="✓ Có",VLOOKUP(B36,'Hệ Số'!B:C,2,FALSE),0)</f>
        <v>0</v>
      </c>
      <c r="F36" s="8" t="s">
        <v>173</v>
      </c>
    </row>
    <row r="37" spans="1:6" ht="24" customHeight="1" x14ac:dyDescent="0.25">
      <c r="A37" s="9">
        <v>28</v>
      </c>
      <c r="B37" s="10" t="s">
        <v>174</v>
      </c>
      <c r="C37" s="17" t="s">
        <v>206</v>
      </c>
      <c r="D37" s="11" t="str">
        <f>IF(AND('📋 Thông Tin'!$B$10="Landing Page",OR(C37="🟢 Bắt buộc",AND(C37="🟡 Nên có",OR('📋 Thông Tin'!$D$10="Phổ thông (🟢+🟡)",'📋 Thông Tin'!$D$10="Nâng cao (🟢+🟡+⚪)")),AND(C37="⚪ Tùy chọn",'📋 Thông Tin'!$D$10="Nâng cao (🟢+🟡+⚪)"))),"✓ Có","✗ Không")</f>
        <v>✗ Không</v>
      </c>
      <c r="E37" s="18">
        <f>IF(D37="✓ Có",VLOOKUP(B37,'Hệ Số'!B:C,2,FALSE),0)</f>
        <v>0</v>
      </c>
      <c r="F37" s="12" t="s">
        <v>3</v>
      </c>
    </row>
    <row r="38" spans="1:6" ht="24" customHeight="1" x14ac:dyDescent="0.25">
      <c r="A38" s="5">
        <v>29</v>
      </c>
      <c r="B38" s="6" t="s">
        <v>175</v>
      </c>
      <c r="C38" s="20" t="s">
        <v>206</v>
      </c>
      <c r="D38" s="7" t="str">
        <f>IF(AND('📋 Thông Tin'!$B$10="Landing Page",OR(C38="🟢 Bắt buộc",AND(C38="🟡 Nên có",OR('📋 Thông Tin'!$D$10="Phổ thông (🟢+🟡)",'📋 Thông Tin'!$D$10="Nâng cao (🟢+🟡+⚪)")),AND(C38="⚪ Tùy chọn",'📋 Thông Tin'!$D$10="Nâng cao (🟢+🟡+⚪)"))),"✓ Có","✗ Không")</f>
        <v>✗ Không</v>
      </c>
      <c r="E38" s="16">
        <f>IF(D38="✓ Có",VLOOKUP(B38,'Hệ Số'!B:C,2,FALSE),0)</f>
        <v>0</v>
      </c>
      <c r="F38" s="8" t="s">
        <v>176</v>
      </c>
    </row>
    <row r="39" spans="1:6" ht="24" customHeight="1" x14ac:dyDescent="0.25">
      <c r="A39" s="9">
        <v>30</v>
      </c>
      <c r="B39" s="10" t="s">
        <v>177</v>
      </c>
      <c r="C39" s="19" t="s">
        <v>207</v>
      </c>
      <c r="D39" s="11" t="str">
        <f>IF(AND('📋 Thông Tin'!$B$10="Landing Page",OR(C39="🟢 Bắt buộc",AND(C39="🟡 Nên có",OR('📋 Thông Tin'!$D$10="Phổ thông (🟢+🟡)",'📋 Thông Tin'!$D$10="Nâng cao (🟢+🟡+⚪)")),AND(C39="⚪ Tùy chọn",'📋 Thông Tin'!$D$10="Nâng cao (🟢+🟡+⚪)"))),"✓ Có","✗ Không")</f>
        <v>✗ Không</v>
      </c>
      <c r="E39" s="18">
        <f>IF(D39="✓ Có",VLOOKUP(B39,'Hệ Số'!B:C,2,FALSE),0)</f>
        <v>0</v>
      </c>
      <c r="F39" s="12" t="s">
        <v>178</v>
      </c>
    </row>
    <row r="40" spans="1:6" ht="24" customHeight="1" x14ac:dyDescent="0.25">
      <c r="A40" s="5">
        <v>31</v>
      </c>
      <c r="B40" s="6" t="s">
        <v>179</v>
      </c>
      <c r="C40" s="20" t="s">
        <v>206</v>
      </c>
      <c r="D40" s="7" t="str">
        <f>IF(AND('📋 Thông Tin'!$B$10="Landing Page",OR(C40="🟢 Bắt buộc",AND(C40="🟡 Nên có",OR('📋 Thông Tin'!$D$10="Phổ thông (🟢+🟡)",'📋 Thông Tin'!$D$10="Nâng cao (🟢+🟡+⚪)")),AND(C40="⚪ Tùy chọn",'📋 Thông Tin'!$D$10="Nâng cao (🟢+🟡+⚪)"))),"✓ Có","✗ Không")</f>
        <v>✗ Không</v>
      </c>
      <c r="E40" s="16">
        <f>IF(D40="✓ Có",VLOOKUP(B40,'Hệ Số'!B:C,2,FALSE),0)</f>
        <v>0</v>
      </c>
      <c r="F40" s="8" t="s">
        <v>3</v>
      </c>
    </row>
    <row r="41" spans="1:6" ht="26.1" customHeight="1" x14ac:dyDescent="0.25">
      <c r="A41" s="39" t="s">
        <v>180</v>
      </c>
      <c r="B41" s="39"/>
      <c r="C41" s="39"/>
      <c r="D41" s="39"/>
      <c r="E41" s="39"/>
      <c r="F41" s="39"/>
    </row>
    <row r="42" spans="1:6" ht="24" customHeight="1" x14ac:dyDescent="0.25">
      <c r="A42" s="9">
        <v>32</v>
      </c>
      <c r="B42" s="10" t="s">
        <v>181</v>
      </c>
      <c r="C42" s="17" t="s">
        <v>206</v>
      </c>
      <c r="D42" s="11" t="str">
        <f>IF(AND('📋 Thông Tin'!$B$10="Landing Page",OR(C42="🟢 Bắt buộc",AND(C42="🟡 Nên có",OR('📋 Thông Tin'!$D$10="Phổ thông (🟢+🟡)",'📋 Thông Tin'!$D$10="Nâng cao (🟢+🟡+⚪)")),AND(C42="⚪ Tùy chọn",'📋 Thông Tin'!$D$10="Nâng cao (🟢+🟡+⚪)"))),"✓ Có","✗ Không")</f>
        <v>✗ Không</v>
      </c>
      <c r="E42" s="18">
        <f>IF(D42="✓ Có",VLOOKUP(B42,'Hệ Số'!B:C,2,FALSE),0)</f>
        <v>0</v>
      </c>
      <c r="F42" s="12" t="s">
        <v>182</v>
      </c>
    </row>
    <row r="43" spans="1:6" ht="24" customHeight="1" x14ac:dyDescent="0.25">
      <c r="A43" s="5">
        <v>33</v>
      </c>
      <c r="B43" s="6" t="s">
        <v>183</v>
      </c>
      <c r="C43" s="20" t="s">
        <v>206</v>
      </c>
      <c r="D43" s="7" t="str">
        <f>IF(AND('📋 Thông Tin'!$B$10="Landing Page",OR(C43="🟢 Bắt buộc",AND(C43="🟡 Nên có",OR('📋 Thông Tin'!$D$10="Phổ thông (🟢+🟡)",'📋 Thông Tin'!$D$10="Nâng cao (🟢+🟡+⚪)")),AND(C43="⚪ Tùy chọn",'📋 Thông Tin'!$D$10="Nâng cao (🟢+🟡+⚪)"))),"✓ Có","✗ Không")</f>
        <v>✗ Không</v>
      </c>
      <c r="E43" s="16">
        <f>IF(D43="✓ Có",VLOOKUP(B43,'Hệ Số'!B:C,2,FALSE),0)</f>
        <v>0</v>
      </c>
      <c r="F43" s="8" t="s">
        <v>3</v>
      </c>
    </row>
    <row r="44" spans="1:6" ht="24" customHeight="1" x14ac:dyDescent="0.25">
      <c r="A44" s="9">
        <v>34</v>
      </c>
      <c r="B44" s="10" t="s">
        <v>184</v>
      </c>
      <c r="C44" s="17" t="s">
        <v>206</v>
      </c>
      <c r="D44" s="11" t="str">
        <f>IF(AND('📋 Thông Tin'!$B$10="Landing Page",OR(C44="🟢 Bắt buộc",AND(C44="🟡 Nên có",OR('📋 Thông Tin'!$D$10="Phổ thông (🟢+🟡)",'📋 Thông Tin'!$D$10="Nâng cao (🟢+🟡+⚪)")),AND(C44="⚪ Tùy chọn",'📋 Thông Tin'!$D$10="Nâng cao (🟢+🟡+⚪)"))),"✓ Có","✗ Không")</f>
        <v>✗ Không</v>
      </c>
      <c r="E44" s="18">
        <f>IF(D44="✓ Có",VLOOKUP(B44,'Hệ Số'!B:C,2,FALSE),0)</f>
        <v>0</v>
      </c>
      <c r="F44" s="12" t="s">
        <v>185</v>
      </c>
    </row>
    <row r="45" spans="1:6" ht="24" customHeight="1" x14ac:dyDescent="0.25">
      <c r="A45" s="5">
        <v>35</v>
      </c>
      <c r="B45" s="6" t="s">
        <v>186</v>
      </c>
      <c r="C45" s="20" t="s">
        <v>206</v>
      </c>
      <c r="D45" s="7" t="str">
        <f>IF(AND('📋 Thông Tin'!$B$10="Landing Page",OR(C45="🟢 Bắt buộc",AND(C45="🟡 Nên có",OR('📋 Thông Tin'!$D$10="Phổ thông (🟢+🟡)",'📋 Thông Tin'!$D$10="Nâng cao (🟢+🟡+⚪)")),AND(C45="⚪ Tùy chọn",'📋 Thông Tin'!$D$10="Nâng cao (🟢+🟡+⚪)"))),"✓ Có","✗ Không")</f>
        <v>✗ Không</v>
      </c>
      <c r="E45" s="16">
        <f>IF(D45="✓ Có",VLOOKUP(B45,'Hệ Số'!B:C,2,FALSE),0)</f>
        <v>0</v>
      </c>
      <c r="F45" s="8" t="s">
        <v>187</v>
      </c>
    </row>
    <row r="46" spans="1:6" ht="24" customHeight="1" x14ac:dyDescent="0.25">
      <c r="A46" s="9">
        <v>36</v>
      </c>
      <c r="B46" s="10" t="s">
        <v>188</v>
      </c>
      <c r="C46" s="17" t="s">
        <v>206</v>
      </c>
      <c r="D46" s="11" t="str">
        <f>IF(AND('📋 Thông Tin'!$B$10="Landing Page",OR(C46="🟢 Bắt buộc",AND(C46="🟡 Nên có",OR('📋 Thông Tin'!$D$10="Phổ thông (🟢+🟡)",'📋 Thông Tin'!$D$10="Nâng cao (🟢+🟡+⚪)")),AND(C46="⚪ Tùy chọn",'📋 Thông Tin'!$D$10="Nâng cao (🟢+🟡+⚪)"))),"✓ Có","✗ Không")</f>
        <v>✗ Không</v>
      </c>
      <c r="E46" s="18">
        <f>IF(D46="✓ Có",VLOOKUP(B46,'Hệ Số'!B:C,2,FALSE),0)</f>
        <v>0</v>
      </c>
      <c r="F46" s="12" t="s">
        <v>189</v>
      </c>
    </row>
    <row r="47" spans="1:6" ht="24" customHeight="1" x14ac:dyDescent="0.25">
      <c r="A47" s="5">
        <v>37</v>
      </c>
      <c r="B47" s="6" t="s">
        <v>190</v>
      </c>
      <c r="C47" s="20" t="s">
        <v>206</v>
      </c>
      <c r="D47" s="7" t="str">
        <f>IF(AND('📋 Thông Tin'!$B$10="Landing Page",OR(C47="🟢 Bắt buộc",AND(C47="🟡 Nên có",OR('📋 Thông Tin'!$D$10="Phổ thông (🟢+🟡)",'📋 Thông Tin'!$D$10="Nâng cao (🟢+🟡+⚪)")),AND(C47="⚪ Tùy chọn",'📋 Thông Tin'!$D$10="Nâng cao (🟢+🟡+⚪)"))),"✓ Có","✗ Không")</f>
        <v>✗ Không</v>
      </c>
      <c r="E47" s="16">
        <f>IF(D47="✓ Có",VLOOKUP(B47,'Hệ Số'!B:C,2,FALSE),0)</f>
        <v>0</v>
      </c>
      <c r="F47" s="8" t="s">
        <v>3</v>
      </c>
    </row>
    <row r="48" spans="1:6" ht="24" customHeight="1" x14ac:dyDescent="0.25">
      <c r="A48" s="9">
        <v>38</v>
      </c>
      <c r="B48" s="10" t="s">
        <v>191</v>
      </c>
      <c r="C48" s="17" t="s">
        <v>206</v>
      </c>
      <c r="D48" s="11" t="str">
        <f>IF(AND('📋 Thông Tin'!$B$10="Landing Page",OR(C48="🟢 Bắt buộc",AND(C48="🟡 Nên có",OR('📋 Thông Tin'!$D$10="Phổ thông (🟢+🟡)",'📋 Thông Tin'!$D$10="Nâng cao (🟢+🟡+⚪)")),AND(C48="⚪ Tùy chọn",'📋 Thông Tin'!$D$10="Nâng cao (🟢+🟡+⚪)"))),"✓ Có","✗ Không")</f>
        <v>✗ Không</v>
      </c>
      <c r="E48" s="18">
        <f>IF(D48="✓ Có",VLOOKUP(B48,'Hệ Số'!B:C,2,FALSE),0)</f>
        <v>0</v>
      </c>
      <c r="F48" s="12" t="s">
        <v>192</v>
      </c>
    </row>
    <row r="49" spans="1:6" ht="24" customHeight="1" x14ac:dyDescent="0.25">
      <c r="A49" s="5">
        <v>39</v>
      </c>
      <c r="B49" s="6" t="s">
        <v>193</v>
      </c>
      <c r="C49" s="20" t="s">
        <v>206</v>
      </c>
      <c r="D49" s="7" t="str">
        <f>IF(AND('📋 Thông Tin'!$B$10="Landing Page",OR(C49="🟢 Bắt buộc",AND(C49="🟡 Nên có",OR('📋 Thông Tin'!$D$10="Phổ thông (🟢+🟡)",'📋 Thông Tin'!$D$10="Nâng cao (🟢+🟡+⚪)")),AND(C49="⚪ Tùy chọn",'📋 Thông Tin'!$D$10="Nâng cao (🟢+🟡+⚪)"))),"✓ Có","✗ Không")</f>
        <v>✗ Không</v>
      </c>
      <c r="E49" s="16">
        <f>IF(D49="✓ Có",VLOOKUP(B49,'Hệ Số'!B:C,2,FALSE),0)</f>
        <v>0</v>
      </c>
      <c r="F49" s="8" t="s">
        <v>3</v>
      </c>
    </row>
    <row r="50" spans="1:6" ht="24" customHeight="1" x14ac:dyDescent="0.25">
      <c r="A50" s="9">
        <v>40</v>
      </c>
      <c r="B50" s="10" t="s">
        <v>194</v>
      </c>
      <c r="C50" s="17" t="s">
        <v>206</v>
      </c>
      <c r="D50" s="11" t="str">
        <f>IF(AND('📋 Thông Tin'!$B$10="Landing Page",OR(C50="🟢 Bắt buộc",AND(C50="🟡 Nên có",OR('📋 Thông Tin'!$D$10="Phổ thông (🟢+🟡)",'📋 Thông Tin'!$D$10="Nâng cao (🟢+🟡+⚪)")),AND(C50="⚪ Tùy chọn",'📋 Thông Tin'!$D$10="Nâng cao (🟢+🟡+⚪)"))),"✓ Có","✗ Không")</f>
        <v>✗ Không</v>
      </c>
      <c r="E50" s="18">
        <f>IF(D50="✓ Có",VLOOKUP(B50,'Hệ Số'!B:C,2,FALSE),0)</f>
        <v>0</v>
      </c>
      <c r="F50" s="12" t="s">
        <v>3</v>
      </c>
    </row>
    <row r="51" spans="1:6" ht="24" customHeight="1" x14ac:dyDescent="0.25">
      <c r="A51" s="5">
        <v>41</v>
      </c>
      <c r="B51" s="6" t="s">
        <v>195</v>
      </c>
      <c r="C51" s="20" t="s">
        <v>206</v>
      </c>
      <c r="D51" s="7" t="str">
        <f>IF(AND('📋 Thông Tin'!$B$10="Landing Page",OR(C51="🟢 Bắt buộc",AND(C51="🟡 Nên có",OR('📋 Thông Tin'!$D$10="Phổ thông (🟢+🟡)",'📋 Thông Tin'!$D$10="Nâng cao (🟢+🟡+⚪)")),AND(C51="⚪ Tùy chọn",'📋 Thông Tin'!$D$10="Nâng cao (🟢+🟡+⚪)"))),"✓ Có","✗ Không")</f>
        <v>✗ Không</v>
      </c>
      <c r="E51" s="16">
        <f>IF(D51="✓ Có",VLOOKUP(B51,'Hệ Số'!B:C,2,FALSE),0)</f>
        <v>0</v>
      </c>
      <c r="F51" s="8" t="s">
        <v>3</v>
      </c>
    </row>
    <row r="52" spans="1:6" ht="26.1" customHeight="1" x14ac:dyDescent="0.25">
      <c r="A52" s="39" t="s">
        <v>196</v>
      </c>
      <c r="B52" s="39"/>
      <c r="C52" s="39"/>
      <c r="D52" s="39"/>
      <c r="E52" s="39"/>
      <c r="F52" s="39"/>
    </row>
    <row r="53" spans="1:6" ht="24" customHeight="1" x14ac:dyDescent="0.25">
      <c r="A53" s="9">
        <v>42</v>
      </c>
      <c r="B53" s="10" t="s">
        <v>197</v>
      </c>
      <c r="C53" s="17" t="s">
        <v>206</v>
      </c>
      <c r="D53" s="11" t="str">
        <f>IF(AND('📋 Thông Tin'!$B$10="Landing Page",OR(C53="🟢 Bắt buộc",AND(C53="🟡 Nên có",OR('📋 Thông Tin'!$D$10="Phổ thông (🟢+🟡)",'📋 Thông Tin'!$D$10="Nâng cao (🟢+🟡+⚪)")),AND(C53="⚪ Tùy chọn",'📋 Thông Tin'!$D$10="Nâng cao (🟢+🟡+⚪)"))),"✓ Có","✗ Không")</f>
        <v>✗ Không</v>
      </c>
      <c r="E53" s="18">
        <f>IF(D53="✓ Có",VLOOKUP(B53,'Hệ Số'!B:C,2,FALSE),0)</f>
        <v>0</v>
      </c>
      <c r="F53" s="12" t="s">
        <v>198</v>
      </c>
    </row>
    <row r="54" spans="1:6" ht="24" customHeight="1" x14ac:dyDescent="0.25">
      <c r="A54" s="5">
        <v>43</v>
      </c>
      <c r="B54" s="6" t="s">
        <v>199</v>
      </c>
      <c r="C54" s="20" t="s">
        <v>206</v>
      </c>
      <c r="D54" s="7" t="str">
        <f>IF(AND('📋 Thông Tin'!$B$10="Landing Page",OR(C54="🟢 Bắt buộc",AND(C54="🟡 Nên có",OR('📋 Thông Tin'!$D$10="Phổ thông (🟢+🟡)",'📋 Thông Tin'!$D$10="Nâng cao (🟢+🟡+⚪)")),AND(C54="⚪ Tùy chọn",'📋 Thông Tin'!$D$10="Nâng cao (🟢+🟡+⚪)"))),"✓ Có","✗ Không")</f>
        <v>✗ Không</v>
      </c>
      <c r="E54" s="16">
        <f>IF(D54="✓ Có",VLOOKUP(B54,'Hệ Số'!B:C,2,FALSE),0)</f>
        <v>0</v>
      </c>
      <c r="F54" s="8" t="s">
        <v>3</v>
      </c>
    </row>
    <row r="55" spans="1:6" ht="24" customHeight="1" x14ac:dyDescent="0.25">
      <c r="A55" s="9">
        <v>44</v>
      </c>
      <c r="B55" s="10" t="s">
        <v>200</v>
      </c>
      <c r="C55" s="17" t="s">
        <v>206</v>
      </c>
      <c r="D55" s="11" t="str">
        <f>IF(AND('📋 Thông Tin'!$B$10="Landing Page",OR(C55="🟢 Bắt buộc",AND(C55="🟡 Nên có",OR('📋 Thông Tin'!$D$10="Phổ thông (🟢+🟡)",'📋 Thông Tin'!$D$10="Nâng cao (🟢+🟡+⚪)")),AND(C55="⚪ Tùy chọn",'📋 Thông Tin'!$D$10="Nâng cao (🟢+🟡+⚪)"))),"✓ Có","✗ Không")</f>
        <v>✗ Không</v>
      </c>
      <c r="E55" s="18">
        <f>IF(D55="✓ Có",VLOOKUP(B55,'Hệ Số'!B:C,2,FALSE),0)</f>
        <v>0</v>
      </c>
      <c r="F55" s="12" t="s">
        <v>3</v>
      </c>
    </row>
    <row r="56" spans="1:6" ht="24" customHeight="1" x14ac:dyDescent="0.25">
      <c r="A56" s="5">
        <v>45</v>
      </c>
      <c r="B56" s="6" t="s">
        <v>201</v>
      </c>
      <c r="C56" s="20" t="s">
        <v>206</v>
      </c>
      <c r="D56" s="7" t="str">
        <f>IF(AND('📋 Thông Tin'!$B$10="Landing Page",OR(C56="🟢 Bắt buộc",AND(C56="🟡 Nên có",OR('📋 Thông Tin'!$D$10="Phổ thông (🟢+🟡)",'📋 Thông Tin'!$D$10="Nâng cao (🟢+🟡+⚪)")),AND(C56="⚪ Tùy chọn",'📋 Thông Tin'!$D$10="Nâng cao (🟢+🟡+⚪)"))),"✓ Có","✗ Không")</f>
        <v>✗ Không</v>
      </c>
      <c r="E56" s="16">
        <f>IF(D56="✓ Có",VLOOKUP(B56,'Hệ Số'!B:C,2,FALSE),0)</f>
        <v>0</v>
      </c>
      <c r="F56" s="8" t="s">
        <v>3</v>
      </c>
    </row>
    <row r="59" spans="1:6" ht="32.1" customHeight="1" x14ac:dyDescent="0.25">
      <c r="A59" s="35" t="s">
        <v>208</v>
      </c>
      <c r="B59" s="35"/>
      <c r="C59" s="35"/>
      <c r="D59" s="35"/>
      <c r="E59" s="35"/>
      <c r="F59" s="35"/>
    </row>
    <row r="60" spans="1:6" ht="30" customHeight="1" x14ac:dyDescent="0.25">
      <c r="A60" s="46" t="s">
        <v>209</v>
      </c>
      <c r="B60" s="46"/>
      <c r="C60" s="21"/>
      <c r="D60" s="21"/>
      <c r="E60" s="47">
        <f>SUM(E5:E56)</f>
        <v>0</v>
      </c>
      <c r="F60" s="47"/>
    </row>
    <row r="61" spans="1:6" ht="30" customHeight="1" x14ac:dyDescent="0.25">
      <c r="A61" s="46" t="s">
        <v>210</v>
      </c>
      <c r="B61" s="46"/>
      <c r="C61" s="21"/>
      <c r="D61" s="21"/>
      <c r="E61" s="47">
        <f>E60*1.5</f>
        <v>0</v>
      </c>
      <c r="F61" s="47"/>
    </row>
    <row r="62" spans="1:6" ht="30" customHeight="1" x14ac:dyDescent="0.25">
      <c r="A62" s="46" t="s">
        <v>211</v>
      </c>
      <c r="B62" s="46"/>
      <c r="C62" s="21"/>
      <c r="D62" s="21"/>
      <c r="E62" s="47">
        <f>CEILING(E61/8,1)</f>
        <v>0</v>
      </c>
      <c r="F62" s="47"/>
    </row>
    <row r="63" spans="1:6" ht="30" customHeight="1" x14ac:dyDescent="0.25">
      <c r="A63" s="42" t="s">
        <v>212</v>
      </c>
      <c r="B63" s="42"/>
      <c r="C63" s="22"/>
      <c r="D63" s="22"/>
      <c r="E63" s="43">
        <f>E62*1000000</f>
        <v>0</v>
      </c>
      <c r="F63" s="43"/>
    </row>
    <row r="65" spans="1:6" ht="26.1" customHeight="1" x14ac:dyDescent="0.25">
      <c r="A65" s="44" t="s">
        <v>213</v>
      </c>
      <c r="B65" s="44"/>
      <c r="C65" s="23"/>
      <c r="D65" s="23"/>
      <c r="E65" s="45">
        <f>E63*0.4</f>
        <v>0</v>
      </c>
      <c r="F65" s="45"/>
    </row>
    <row r="66" spans="1:6" ht="26.1" customHeight="1" x14ac:dyDescent="0.25">
      <c r="A66" s="44" t="s">
        <v>214</v>
      </c>
      <c r="B66" s="44"/>
      <c r="C66" s="23"/>
      <c r="D66" s="23"/>
      <c r="E66" s="45">
        <f>E63*0.6</f>
        <v>0</v>
      </c>
      <c r="F66" s="45"/>
    </row>
    <row r="68" spans="1:6" ht="24" customHeight="1" x14ac:dyDescent="0.25">
      <c r="A68" s="41" t="s">
        <v>215</v>
      </c>
      <c r="B68" s="41"/>
      <c r="C68" s="41"/>
      <c r="D68" s="41"/>
      <c r="E68" s="41"/>
      <c r="F68" s="41"/>
    </row>
  </sheetData>
  <mergeCells count="23">
    <mergeCell ref="A1:F1"/>
    <mergeCell ref="A4:F4"/>
    <mergeCell ref="A14:F14"/>
    <mergeCell ref="A22:F22"/>
    <mergeCell ref="A24:F24"/>
    <mergeCell ref="A26:F26"/>
    <mergeCell ref="A29:F29"/>
    <mergeCell ref="A41:F41"/>
    <mergeCell ref="A52:F52"/>
    <mergeCell ref="A59:F59"/>
    <mergeCell ref="A60:B60"/>
    <mergeCell ref="E60:F60"/>
    <mergeCell ref="A61:B61"/>
    <mergeCell ref="E61:F61"/>
    <mergeCell ref="A62:B62"/>
    <mergeCell ref="E62:F62"/>
    <mergeCell ref="A68:F68"/>
    <mergeCell ref="A63:B63"/>
    <mergeCell ref="E63:F63"/>
    <mergeCell ref="A65:B65"/>
    <mergeCell ref="E65:F65"/>
    <mergeCell ref="A66:B66"/>
    <mergeCell ref="E66:F66"/>
  </mergeCells>
  <pageMargins left="0.7" right="0.7" top="0.75" bottom="0.75" header="0.3" footer="0.3"/>
  <pageSetup paperSize="9" orientation="landscape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ECDC4"/>
    <pageSetUpPr fitToPage="1"/>
  </sheetPr>
  <dimension ref="A1:F75"/>
  <sheetViews>
    <sheetView workbookViewId="0">
      <selection activeCell="E68" sqref="E68:F68"/>
    </sheetView>
  </sheetViews>
  <sheetFormatPr defaultRowHeight="15" x14ac:dyDescent="0.25"/>
  <cols>
    <col min="1" max="1" width="5" customWidth="1"/>
    <col min="2" max="2" width="38" customWidth="1"/>
    <col min="3" max="3" width="14" customWidth="1"/>
    <col min="4" max="4" width="12" customWidth="1"/>
    <col min="5" max="5" width="10" customWidth="1"/>
    <col min="6" max="6" width="28" customWidth="1"/>
  </cols>
  <sheetData>
    <row r="1" spans="1:6" ht="36" customHeight="1" x14ac:dyDescent="0.25">
      <c r="A1" s="40" t="s">
        <v>216</v>
      </c>
      <c r="B1" s="40"/>
      <c r="C1" s="40"/>
      <c r="D1" s="40"/>
      <c r="E1" s="40"/>
      <c r="F1" s="40"/>
    </row>
    <row r="3" spans="1:6" ht="26.1" customHeight="1" x14ac:dyDescent="0.25">
      <c r="A3" s="4" t="s">
        <v>15</v>
      </c>
      <c r="B3" s="4" t="s">
        <v>88</v>
      </c>
      <c r="C3" s="4" t="s">
        <v>203</v>
      </c>
      <c r="D3" s="4" t="s">
        <v>204</v>
      </c>
      <c r="E3" s="4" t="s">
        <v>89</v>
      </c>
      <c r="F3" s="4" t="s">
        <v>90</v>
      </c>
    </row>
    <row r="4" spans="1:6" ht="26.1" customHeight="1" x14ac:dyDescent="0.25">
      <c r="A4" s="39" t="s">
        <v>91</v>
      </c>
      <c r="B4" s="39"/>
      <c r="C4" s="39"/>
      <c r="D4" s="39"/>
      <c r="E4" s="39"/>
      <c r="F4" s="39"/>
    </row>
    <row r="5" spans="1:6" ht="24" customHeight="1" x14ac:dyDescent="0.25">
      <c r="A5" s="5">
        <v>1</v>
      </c>
      <c r="B5" s="6" t="s">
        <v>92</v>
      </c>
      <c r="C5" s="15" t="s">
        <v>205</v>
      </c>
      <c r="D5" s="7" t="str">
        <f>IF(AND('📋 Thông Tin'!$B$10="Web Giới Thiệu",OR(C5="🟢 Bắt buộc",AND(C5="🟡 Nên có",OR('📋 Thông Tin'!$D$10="Phổ thông (🟢+🟡)",'📋 Thông Tin'!$D$10="Nâng cao (🟢+🟡+⚪)")),AND(C5="⚪ Tùy chọn",'📋 Thông Tin'!$D$10="Nâng cao (🟢+🟡+⚪)"))),"✓ Có","✗ Không")</f>
        <v>✗ Không</v>
      </c>
      <c r="E5" s="16">
        <f>IF(D5="✓ Có",VLOOKUP(B5,'Hệ Số'!B:C,2,FALSE),0)</f>
        <v>0</v>
      </c>
      <c r="F5" s="8" t="s">
        <v>3</v>
      </c>
    </row>
    <row r="6" spans="1:6" ht="24" customHeight="1" x14ac:dyDescent="0.25">
      <c r="A6" s="9">
        <v>2</v>
      </c>
      <c r="B6" s="10" t="s">
        <v>93</v>
      </c>
      <c r="C6" s="15" t="s">
        <v>205</v>
      </c>
      <c r="D6" s="11" t="str">
        <f>IF(AND('📋 Thông Tin'!$B$10="Web Giới Thiệu",OR(C6="🟢 Bắt buộc",AND(C6="🟡 Nên có",OR('📋 Thông Tin'!$D$10="Phổ thông (🟢+🟡)",'📋 Thông Tin'!$D$10="Nâng cao (🟢+🟡+⚪)")),AND(C6="⚪ Tùy chọn",'📋 Thông Tin'!$D$10="Nâng cao (🟢+🟡+⚪)"))),"✓ Có","✗ Không")</f>
        <v>✗ Không</v>
      </c>
      <c r="E6" s="18">
        <f>IF(D6="✓ Có",VLOOKUP(B6,'Hệ Số'!B:C,2,FALSE),0)</f>
        <v>0</v>
      </c>
      <c r="F6" s="12" t="s">
        <v>3</v>
      </c>
    </row>
    <row r="7" spans="1:6" ht="24" customHeight="1" x14ac:dyDescent="0.25">
      <c r="A7" s="5">
        <v>3</v>
      </c>
      <c r="B7" s="6" t="s">
        <v>94</v>
      </c>
      <c r="C7" s="15" t="s">
        <v>205</v>
      </c>
      <c r="D7" s="7" t="str">
        <f>IF(AND('📋 Thông Tin'!$B$10="Web Giới Thiệu",OR(C7="🟢 Bắt buộc",AND(C7="🟡 Nên có",OR('📋 Thông Tin'!$D$10="Phổ thông (🟢+🟡)",'📋 Thông Tin'!$D$10="Nâng cao (🟢+🟡+⚪)")),AND(C7="⚪ Tùy chọn",'📋 Thông Tin'!$D$10="Nâng cao (🟢+🟡+⚪)"))),"✓ Có","✗ Không")</f>
        <v>✗ Không</v>
      </c>
      <c r="E7" s="16">
        <f>IF(D7="✓ Có",VLOOKUP(B7,'Hệ Số'!B:C,2,FALSE),0)</f>
        <v>0</v>
      </c>
      <c r="F7" s="8" t="s">
        <v>3</v>
      </c>
    </row>
    <row r="8" spans="1:6" ht="24" customHeight="1" x14ac:dyDescent="0.25">
      <c r="A8" s="9">
        <v>4</v>
      </c>
      <c r="B8" s="10" t="s">
        <v>95</v>
      </c>
      <c r="C8" s="15" t="s">
        <v>205</v>
      </c>
      <c r="D8" s="11" t="str">
        <f>IF(AND('📋 Thông Tin'!$B$10="Web Giới Thiệu",OR(C8="🟢 Bắt buộc",AND(C8="🟡 Nên có",OR('📋 Thông Tin'!$D$10="Phổ thông (🟢+🟡)",'📋 Thông Tin'!$D$10="Nâng cao (🟢+🟡+⚪)")),AND(C8="⚪ Tùy chọn",'📋 Thông Tin'!$D$10="Nâng cao (🟢+🟡+⚪)"))),"✓ Có","✗ Không")</f>
        <v>✗ Không</v>
      </c>
      <c r="E8" s="18">
        <f>IF(D8="✓ Có",VLOOKUP(B8,'Hệ Số'!B:C,2,FALSE),0)</f>
        <v>0</v>
      </c>
      <c r="F8" s="12" t="s">
        <v>3</v>
      </c>
    </row>
    <row r="9" spans="1:6" ht="24" customHeight="1" x14ac:dyDescent="0.25">
      <c r="A9" s="5">
        <v>5</v>
      </c>
      <c r="B9" s="6" t="s">
        <v>96</v>
      </c>
      <c r="C9" s="15" t="s">
        <v>205</v>
      </c>
      <c r="D9" s="7" t="str">
        <f>IF(AND('📋 Thông Tin'!$B$10="Web Giới Thiệu",OR(C9="🟢 Bắt buộc",AND(C9="🟡 Nên có",OR('📋 Thông Tin'!$D$10="Phổ thông (🟢+🟡)",'📋 Thông Tin'!$D$10="Nâng cao (🟢+🟡+⚪)")),AND(C9="⚪ Tùy chọn",'📋 Thông Tin'!$D$10="Nâng cao (🟢+🟡+⚪)"))),"✓ Có","✗ Không")</f>
        <v>✗ Không</v>
      </c>
      <c r="E9" s="16">
        <f>IF(D9="✓ Có",VLOOKUP(B9,'Hệ Số'!B:C,2,FALSE),0)</f>
        <v>0</v>
      </c>
      <c r="F9" s="8" t="s">
        <v>97</v>
      </c>
    </row>
    <row r="10" spans="1:6" ht="24" customHeight="1" x14ac:dyDescent="0.25">
      <c r="A10" s="9">
        <v>6</v>
      </c>
      <c r="B10" s="10" t="s">
        <v>98</v>
      </c>
      <c r="C10" s="15" t="s">
        <v>205</v>
      </c>
      <c r="D10" s="11" t="str">
        <f>IF(AND('📋 Thông Tin'!$B$10="Web Giới Thiệu",OR(C10="🟢 Bắt buộc",AND(C10="🟡 Nên có",OR('📋 Thông Tin'!$D$10="Phổ thông (🟢+🟡)",'📋 Thông Tin'!$D$10="Nâng cao (🟢+🟡+⚪)")),AND(C10="⚪ Tùy chọn",'📋 Thông Tin'!$D$10="Nâng cao (🟢+🟡+⚪)"))),"✓ Có","✗ Không")</f>
        <v>✗ Không</v>
      </c>
      <c r="E10" s="18">
        <f>IF(D10="✓ Có",VLOOKUP(B10,'Hệ Số'!B:C,2,FALSE),0)</f>
        <v>0</v>
      </c>
      <c r="F10" s="12" t="s">
        <v>3</v>
      </c>
    </row>
    <row r="11" spans="1:6" ht="24" customHeight="1" x14ac:dyDescent="0.25">
      <c r="A11" s="5">
        <v>7</v>
      </c>
      <c r="B11" s="6" t="s">
        <v>99</v>
      </c>
      <c r="C11" s="19" t="s">
        <v>207</v>
      </c>
      <c r="D11" s="7" t="str">
        <f>IF(AND('📋 Thông Tin'!$B$10="Web Giới Thiệu",OR(C11="🟢 Bắt buộc",AND(C11="🟡 Nên có",OR('📋 Thông Tin'!$D$10="Phổ thông (🟢+🟡)",'📋 Thông Tin'!$D$10="Nâng cao (🟢+🟡+⚪)")),AND(C11="⚪ Tùy chọn",'📋 Thông Tin'!$D$10="Nâng cao (🟢+🟡+⚪)"))),"✓ Có","✗ Không")</f>
        <v>✗ Không</v>
      </c>
      <c r="E11" s="16">
        <f>IF(D11="✓ Có",VLOOKUP(B11,'Hệ Số'!B:C,2,FALSE),0)</f>
        <v>0</v>
      </c>
      <c r="F11" s="8" t="s">
        <v>100</v>
      </c>
    </row>
    <row r="12" spans="1:6" ht="24" customHeight="1" x14ac:dyDescent="0.25">
      <c r="A12" s="9">
        <v>8</v>
      </c>
      <c r="B12" s="10" t="s">
        <v>101</v>
      </c>
      <c r="C12" s="19" t="s">
        <v>207</v>
      </c>
      <c r="D12" s="11" t="str">
        <f>IF(AND('📋 Thông Tin'!$B$10="Web Giới Thiệu",OR(C12="🟢 Bắt buộc",AND(C12="🟡 Nên có",OR('📋 Thông Tin'!$D$10="Phổ thông (🟢+🟡)",'📋 Thông Tin'!$D$10="Nâng cao (🟢+🟡+⚪)")),AND(C12="⚪ Tùy chọn",'📋 Thông Tin'!$D$10="Nâng cao (🟢+🟡+⚪)"))),"✓ Có","✗ Không")</f>
        <v>✗ Không</v>
      </c>
      <c r="E12" s="18">
        <f>IF(D12="✓ Có",VLOOKUP(B12,'Hệ Số'!B:C,2,FALSE),0)</f>
        <v>0</v>
      </c>
      <c r="F12" s="12" t="s">
        <v>3</v>
      </c>
    </row>
    <row r="13" spans="1:6" ht="24" customHeight="1" x14ac:dyDescent="0.25">
      <c r="A13" s="5">
        <v>9</v>
      </c>
      <c r="B13" s="6" t="s">
        <v>102</v>
      </c>
      <c r="C13" s="19" t="s">
        <v>207</v>
      </c>
      <c r="D13" s="7" t="str">
        <f>IF(AND('📋 Thông Tin'!$B$10="Web Giới Thiệu",OR(C13="🟢 Bắt buộc",AND(C13="🟡 Nên có",OR('📋 Thông Tin'!$D$10="Phổ thông (🟢+🟡)",'📋 Thông Tin'!$D$10="Nâng cao (🟢+🟡+⚪)")),AND(C13="⚪ Tùy chọn",'📋 Thông Tin'!$D$10="Nâng cao (🟢+🟡+⚪)"))),"✓ Có","✗ Không")</f>
        <v>✗ Không</v>
      </c>
      <c r="E13" s="16">
        <f>IF(D13="✓ Có",VLOOKUP(B13,'Hệ Số'!B:C,2,FALSE),0)</f>
        <v>0</v>
      </c>
      <c r="F13" s="8" t="s">
        <v>103</v>
      </c>
    </row>
    <row r="14" spans="1:6" ht="26.1" customHeight="1" x14ac:dyDescent="0.25">
      <c r="A14" s="39" t="s">
        <v>104</v>
      </c>
      <c r="B14" s="39"/>
      <c r="C14" s="39"/>
      <c r="D14" s="39"/>
      <c r="E14" s="39"/>
      <c r="F14" s="39"/>
    </row>
    <row r="15" spans="1:6" ht="24" customHeight="1" x14ac:dyDescent="0.25">
      <c r="A15" s="9">
        <v>10</v>
      </c>
      <c r="B15" s="10" t="s">
        <v>105</v>
      </c>
      <c r="C15" s="15" t="s">
        <v>205</v>
      </c>
      <c r="D15" s="11" t="str">
        <f>IF(AND('📋 Thông Tin'!$B$10="Web Giới Thiệu",OR(C15="🟢 Bắt buộc",AND(C15="🟡 Nên có",OR('📋 Thông Tin'!$D$10="Phổ thông (🟢+🟡)",'📋 Thông Tin'!$D$10="Nâng cao (🟢+🟡+⚪)")),AND(C15="⚪ Tùy chọn",'📋 Thông Tin'!$D$10="Nâng cao (🟢+🟡+⚪)"))),"✓ Có","✗ Không")</f>
        <v>✗ Không</v>
      </c>
      <c r="E15" s="18">
        <f>IF(D15="✓ Có",VLOOKUP(B15,'Hệ Số'!B:C,2,FALSE),0)</f>
        <v>0</v>
      </c>
      <c r="F15" s="12" t="s">
        <v>106</v>
      </c>
    </row>
    <row r="16" spans="1:6" ht="24" customHeight="1" x14ac:dyDescent="0.25">
      <c r="A16" s="5">
        <v>11</v>
      </c>
      <c r="B16" s="6" t="s">
        <v>107</v>
      </c>
      <c r="C16" s="19" t="s">
        <v>207</v>
      </c>
      <c r="D16" s="7" t="str">
        <f>IF(AND('📋 Thông Tin'!$B$10="Web Giới Thiệu",OR(C16="🟢 Bắt buộc",AND(C16="🟡 Nên có",OR('📋 Thông Tin'!$D$10="Phổ thông (🟢+🟡)",'📋 Thông Tin'!$D$10="Nâng cao (🟢+🟡+⚪)")),AND(C16="⚪ Tùy chọn",'📋 Thông Tin'!$D$10="Nâng cao (🟢+🟡+⚪)"))),"✓ Có","✗ Không")</f>
        <v>✗ Không</v>
      </c>
      <c r="E16" s="16">
        <f>IF(D16="✓ Có",VLOOKUP(B16,'Hệ Số'!B:C,2,FALSE),0)</f>
        <v>0</v>
      </c>
      <c r="F16" s="8" t="s">
        <v>108</v>
      </c>
    </row>
    <row r="17" spans="1:6" ht="24" customHeight="1" x14ac:dyDescent="0.25">
      <c r="A17" s="9">
        <v>12</v>
      </c>
      <c r="B17" s="10" t="s">
        <v>109</v>
      </c>
      <c r="C17" s="15" t="s">
        <v>205</v>
      </c>
      <c r="D17" s="11" t="str">
        <f>IF(AND('📋 Thông Tin'!$B$10="Web Giới Thiệu",OR(C17="🟢 Bắt buộc",AND(C17="🟡 Nên có",OR('📋 Thông Tin'!$D$10="Phổ thông (🟢+🟡)",'📋 Thông Tin'!$D$10="Nâng cao (🟢+🟡+⚪)")),AND(C17="⚪ Tùy chọn",'📋 Thông Tin'!$D$10="Nâng cao (🟢+🟡+⚪)"))),"✓ Có","✗ Không")</f>
        <v>✗ Không</v>
      </c>
      <c r="E17" s="18">
        <f>IF(D17="✓ Có",VLOOKUP(B17,'Hệ Số'!B:C,2,FALSE),0)</f>
        <v>0</v>
      </c>
      <c r="F17" s="12" t="s">
        <v>110</v>
      </c>
    </row>
    <row r="18" spans="1:6" ht="24" customHeight="1" x14ac:dyDescent="0.25">
      <c r="A18" s="5">
        <v>13</v>
      </c>
      <c r="B18" s="6" t="s">
        <v>111</v>
      </c>
      <c r="C18" s="19" t="s">
        <v>207</v>
      </c>
      <c r="D18" s="7" t="str">
        <f>IF(AND('📋 Thông Tin'!$B$10="Web Giới Thiệu",OR(C18="🟢 Bắt buộc",AND(C18="🟡 Nên có",OR('📋 Thông Tin'!$D$10="Phổ thông (🟢+🟡)",'📋 Thông Tin'!$D$10="Nâng cao (🟢+🟡+⚪)")),AND(C18="⚪ Tùy chọn",'📋 Thông Tin'!$D$10="Nâng cao (🟢+🟡+⚪)"))),"✓ Có","✗ Không")</f>
        <v>✗ Không</v>
      </c>
      <c r="E18" s="16">
        <f>IF(D18="✓ Có",VLOOKUP(B18,'Hệ Số'!B:C,2,FALSE),0)</f>
        <v>0</v>
      </c>
      <c r="F18" s="8" t="s">
        <v>112</v>
      </c>
    </row>
    <row r="19" spans="1:6" ht="24" customHeight="1" x14ac:dyDescent="0.25">
      <c r="A19" s="9">
        <v>14</v>
      </c>
      <c r="B19" s="10" t="s">
        <v>113</v>
      </c>
      <c r="C19" s="17" t="s">
        <v>206</v>
      </c>
      <c r="D19" s="11" t="str">
        <f>IF(AND('📋 Thông Tin'!$B$10="Web Giới Thiệu",OR(C19="🟢 Bắt buộc",AND(C19="🟡 Nên có",OR('📋 Thông Tin'!$D$10="Phổ thông (🟢+🟡)",'📋 Thông Tin'!$D$10="Nâng cao (🟢+🟡+⚪)")),AND(C19="⚪ Tùy chọn",'📋 Thông Tin'!$D$10="Nâng cao (🟢+🟡+⚪)"))),"✓ Có","✗ Không")</f>
        <v>✗ Không</v>
      </c>
      <c r="E19" s="18">
        <f>IF(D19="✓ Có",VLOOKUP(B19,'Hệ Số'!B:C,2,FALSE),0)</f>
        <v>0</v>
      </c>
      <c r="F19" s="12" t="s">
        <v>114</v>
      </c>
    </row>
    <row r="20" spans="1:6" ht="24" customHeight="1" x14ac:dyDescent="0.25">
      <c r="A20" s="5">
        <v>15</v>
      </c>
      <c r="B20" s="6" t="s">
        <v>115</v>
      </c>
      <c r="C20" s="20" t="s">
        <v>206</v>
      </c>
      <c r="D20" s="7" t="str">
        <f>IF(AND('📋 Thông Tin'!$B$10="Web Giới Thiệu",OR(C20="🟢 Bắt buộc",AND(C20="🟡 Nên có",OR('📋 Thông Tin'!$D$10="Phổ thông (🟢+🟡)",'📋 Thông Tin'!$D$10="Nâng cao (🟢+🟡+⚪)")),AND(C20="⚪ Tùy chọn",'📋 Thông Tin'!$D$10="Nâng cao (🟢+🟡+⚪)"))),"✓ Có","✗ Không")</f>
        <v>✗ Không</v>
      </c>
      <c r="E20" s="16">
        <f>IF(D20="✓ Có",VLOOKUP(B20,'Hệ Số'!B:C,2,FALSE),0)</f>
        <v>0</v>
      </c>
      <c r="F20" s="8" t="s">
        <v>116</v>
      </c>
    </row>
    <row r="21" spans="1:6" ht="24" customHeight="1" x14ac:dyDescent="0.25">
      <c r="A21" s="9">
        <v>16</v>
      </c>
      <c r="B21" s="10" t="s">
        <v>117</v>
      </c>
      <c r="C21" s="19" t="s">
        <v>207</v>
      </c>
      <c r="D21" s="11" t="str">
        <f>IF(AND('📋 Thông Tin'!$B$10="Web Giới Thiệu",OR(C21="🟢 Bắt buộc",AND(C21="🟡 Nên có",OR('📋 Thông Tin'!$D$10="Phổ thông (🟢+🟡)",'📋 Thông Tin'!$D$10="Nâng cao (🟢+🟡+⚪)")),AND(C21="⚪ Tùy chọn",'📋 Thông Tin'!$D$10="Nâng cao (🟢+🟡+⚪)"))),"✓ Có","✗ Không")</f>
        <v>✗ Không</v>
      </c>
      <c r="E21" s="18">
        <f>IF(D21="✓ Có",VLOOKUP(B21,'Hệ Số'!B:C,2,FALSE),0)</f>
        <v>0</v>
      </c>
      <c r="F21" s="12" t="s">
        <v>118</v>
      </c>
    </row>
    <row r="22" spans="1:6" ht="24" customHeight="1" x14ac:dyDescent="0.25">
      <c r="A22" s="5">
        <v>17</v>
      </c>
      <c r="B22" s="6" t="s">
        <v>119</v>
      </c>
      <c r="C22" s="20" t="s">
        <v>206</v>
      </c>
      <c r="D22" s="7" t="str">
        <f>IF(AND('📋 Thông Tin'!$B$10="Web Giới Thiệu",OR(C22="🟢 Bắt buộc",AND(C22="🟡 Nên có",OR('📋 Thông Tin'!$D$10="Phổ thông (🟢+🟡)",'📋 Thông Tin'!$D$10="Nâng cao (🟢+🟡+⚪)")),AND(C22="⚪ Tùy chọn",'📋 Thông Tin'!$D$10="Nâng cao (🟢+🟡+⚪)"))),"✓ Có","✗ Không")</f>
        <v>✗ Không</v>
      </c>
      <c r="E22" s="16">
        <f>IF(D22="✓ Có",VLOOKUP(B22,'Hệ Số'!B:C,2,FALSE),0)</f>
        <v>0</v>
      </c>
      <c r="F22" s="8" t="s">
        <v>3</v>
      </c>
    </row>
    <row r="23" spans="1:6" ht="24" customHeight="1" x14ac:dyDescent="0.25">
      <c r="A23" s="9">
        <v>18</v>
      </c>
      <c r="B23" s="10" t="s">
        <v>120</v>
      </c>
      <c r="C23" s="17" t="s">
        <v>206</v>
      </c>
      <c r="D23" s="11" t="str">
        <f>IF(AND('📋 Thông Tin'!$B$10="Web Giới Thiệu",OR(C23="🟢 Bắt buộc",AND(C23="🟡 Nên có",OR('📋 Thông Tin'!$D$10="Phổ thông (🟢+🟡)",'📋 Thông Tin'!$D$10="Nâng cao (🟢+🟡+⚪)")),AND(C23="⚪ Tùy chọn",'📋 Thông Tin'!$D$10="Nâng cao (🟢+🟡+⚪)"))),"✓ Có","✗ Không")</f>
        <v>✗ Không</v>
      </c>
      <c r="E23" s="18">
        <f>IF(D23="✓ Có",VLOOKUP(B23,'Hệ Số'!B:C,2,FALSE),0)</f>
        <v>0</v>
      </c>
      <c r="F23" s="12" t="s">
        <v>121</v>
      </c>
    </row>
    <row r="24" spans="1:6" ht="26.1" customHeight="1" x14ac:dyDescent="0.25">
      <c r="A24" s="39" t="s">
        <v>124</v>
      </c>
      <c r="B24" s="39"/>
      <c r="C24" s="39"/>
      <c r="D24" s="39"/>
      <c r="E24" s="39"/>
      <c r="F24" s="39"/>
    </row>
    <row r="25" spans="1:6" ht="24" customHeight="1" x14ac:dyDescent="0.25">
      <c r="A25" s="5">
        <v>19</v>
      </c>
      <c r="B25" s="6" t="s">
        <v>125</v>
      </c>
      <c r="C25" s="20" t="s">
        <v>206</v>
      </c>
      <c r="D25" s="7" t="str">
        <f>IF(AND('📋 Thông Tin'!$B$10="Web Giới Thiệu",OR(C25="🟢 Bắt buộc",AND(C25="🟡 Nên có",OR('📋 Thông Tin'!$D$10="Phổ thông (🟢+🟡)",'📋 Thông Tin'!$D$10="Nâng cao (🟢+🟡+⚪)")),AND(C25="⚪ Tùy chọn",'📋 Thông Tin'!$D$10="Nâng cao (🟢+🟡+⚪)"))),"✓ Có","✗ Không")</f>
        <v>✗ Không</v>
      </c>
      <c r="E25" s="16">
        <f>IF(D25="✓ Có",VLOOKUP(B25,'Hệ Số'!B:C,2,FALSE),0)</f>
        <v>0</v>
      </c>
      <c r="F25" s="8" t="s">
        <v>126</v>
      </c>
    </row>
    <row r="26" spans="1:6" ht="26.1" customHeight="1" x14ac:dyDescent="0.25">
      <c r="A26" s="39" t="s">
        <v>137</v>
      </c>
      <c r="B26" s="39"/>
      <c r="C26" s="39"/>
      <c r="D26" s="39"/>
      <c r="E26" s="39"/>
      <c r="F26" s="39"/>
    </row>
    <row r="27" spans="1:6" ht="24" customHeight="1" x14ac:dyDescent="0.25">
      <c r="A27" s="9">
        <v>20</v>
      </c>
      <c r="B27" s="10" t="s">
        <v>138</v>
      </c>
      <c r="C27" s="17" t="s">
        <v>206</v>
      </c>
      <c r="D27" s="11" t="str">
        <f>IF(AND('📋 Thông Tin'!$B$10="Web Giới Thiệu",OR(C27="🟢 Bắt buộc",AND(C27="🟡 Nên có",OR('📋 Thông Tin'!$D$10="Phổ thông (🟢+🟡)",'📋 Thông Tin'!$D$10="Nâng cao (🟢+🟡+⚪)")),AND(C27="⚪ Tùy chọn",'📋 Thông Tin'!$D$10="Nâng cao (🟢+🟡+⚪)"))),"✓ Có","✗ Không")</f>
        <v>✗ Không</v>
      </c>
      <c r="E27" s="18">
        <f>IF(D27="✓ Có",VLOOKUP(B27,'Hệ Số'!B:C,2,FALSE),0)</f>
        <v>0</v>
      </c>
      <c r="F27" s="12" t="s">
        <v>139</v>
      </c>
    </row>
    <row r="28" spans="1:6" ht="24" customHeight="1" x14ac:dyDescent="0.25">
      <c r="A28" s="5">
        <v>21</v>
      </c>
      <c r="B28" s="6" t="s">
        <v>142</v>
      </c>
      <c r="C28" s="20" t="s">
        <v>206</v>
      </c>
      <c r="D28" s="7" t="str">
        <f>IF(AND('📋 Thông Tin'!$B$10="Web Giới Thiệu",OR(C28="🟢 Bắt buộc",AND(C28="🟡 Nên có",OR('📋 Thông Tin'!$D$10="Phổ thông (🟢+🟡)",'📋 Thông Tin'!$D$10="Nâng cao (🟢+🟡+⚪)")),AND(C28="⚪ Tùy chọn",'📋 Thông Tin'!$D$10="Nâng cao (🟢+🟡+⚪)"))),"✓ Có","✗ Không")</f>
        <v>✗ Không</v>
      </c>
      <c r="E28" s="16">
        <f>IF(D28="✓ Có",VLOOKUP(B28,'Hệ Số'!B:C,2,FALSE),0)</f>
        <v>0</v>
      </c>
      <c r="F28" s="8" t="s">
        <v>143</v>
      </c>
    </row>
    <row r="29" spans="1:6" ht="26.1" customHeight="1" x14ac:dyDescent="0.25">
      <c r="A29" s="39" t="s">
        <v>148</v>
      </c>
      <c r="B29" s="39"/>
      <c r="C29" s="39"/>
      <c r="D29" s="39"/>
      <c r="E29" s="39"/>
      <c r="F29" s="39"/>
    </row>
    <row r="30" spans="1:6" ht="24" customHeight="1" x14ac:dyDescent="0.25">
      <c r="A30" s="9">
        <v>22</v>
      </c>
      <c r="B30" s="10" t="s">
        <v>149</v>
      </c>
      <c r="C30" s="17" t="s">
        <v>206</v>
      </c>
      <c r="D30" s="11" t="str">
        <f>IF(AND('📋 Thông Tin'!$B$10="Web Giới Thiệu",OR(C30="🟢 Bắt buộc",AND(C30="🟡 Nên có",OR('📋 Thông Tin'!$D$10="Phổ thông (🟢+🟡)",'📋 Thông Tin'!$D$10="Nâng cao (🟢+🟡+⚪)")),AND(C30="⚪ Tùy chọn",'📋 Thông Tin'!$D$10="Nâng cao (🟢+🟡+⚪)"))),"✓ Có","✗ Không")</f>
        <v>✗ Không</v>
      </c>
      <c r="E30" s="18">
        <f>IF(D30="✓ Có",VLOOKUP(B30,'Hệ Số'!B:C,2,FALSE),0)</f>
        <v>0</v>
      </c>
      <c r="F30" s="12" t="s">
        <v>3</v>
      </c>
    </row>
    <row r="31" spans="1:6" ht="24" customHeight="1" x14ac:dyDescent="0.25">
      <c r="A31" s="5">
        <v>23</v>
      </c>
      <c r="B31" s="6" t="s">
        <v>150</v>
      </c>
      <c r="C31" s="20" t="s">
        <v>206</v>
      </c>
      <c r="D31" s="7" t="str">
        <f>IF(AND('📋 Thông Tin'!$B$10="Web Giới Thiệu",OR(C31="🟢 Bắt buộc",AND(C31="🟡 Nên có",OR('📋 Thông Tin'!$D$10="Phổ thông (🟢+🟡)",'📋 Thông Tin'!$D$10="Nâng cao (🟢+🟡+⚪)")),AND(C31="⚪ Tùy chọn",'📋 Thông Tin'!$D$10="Nâng cao (🟢+🟡+⚪)"))),"✓ Có","✗ Không")</f>
        <v>✗ Không</v>
      </c>
      <c r="E31" s="16">
        <f>IF(D31="✓ Có",VLOOKUP(B31,'Hệ Số'!B:C,2,FALSE),0)</f>
        <v>0</v>
      </c>
      <c r="F31" s="8" t="s">
        <v>151</v>
      </c>
    </row>
    <row r="32" spans="1:6" ht="26.1" customHeight="1" x14ac:dyDescent="0.25">
      <c r="A32" s="39" t="s">
        <v>154</v>
      </c>
      <c r="B32" s="39"/>
      <c r="C32" s="39"/>
      <c r="D32" s="39"/>
      <c r="E32" s="39"/>
      <c r="F32" s="39"/>
    </row>
    <row r="33" spans="1:6" ht="24" customHeight="1" x14ac:dyDescent="0.25">
      <c r="A33" s="9">
        <v>24</v>
      </c>
      <c r="B33" s="10" t="s">
        <v>155</v>
      </c>
      <c r="C33" s="19" t="s">
        <v>207</v>
      </c>
      <c r="D33" s="11" t="str">
        <f>IF(AND('📋 Thông Tin'!$B$10="Web Giới Thiệu",OR(C33="🟢 Bắt buộc",AND(C33="🟡 Nên có",OR('📋 Thông Tin'!$D$10="Phổ thông (🟢+🟡)",'📋 Thông Tin'!$D$10="Nâng cao (🟢+🟡+⚪)")),AND(C33="⚪ Tùy chọn",'📋 Thông Tin'!$D$10="Nâng cao (🟢+🟡+⚪)"))),"✓ Có","✗ Không")</f>
        <v>✗ Không</v>
      </c>
      <c r="E33" s="18">
        <f>IF(D33="✓ Có",VLOOKUP(B33,'Hệ Số'!B:C,2,FALSE),0)</f>
        <v>0</v>
      </c>
      <c r="F33" s="12" t="s">
        <v>156</v>
      </c>
    </row>
    <row r="34" spans="1:6" ht="24" customHeight="1" x14ac:dyDescent="0.25">
      <c r="A34" s="5">
        <v>25</v>
      </c>
      <c r="B34" s="6" t="s">
        <v>157</v>
      </c>
      <c r="C34" s="20" t="s">
        <v>206</v>
      </c>
      <c r="D34" s="7" t="str">
        <f>IF(AND('📋 Thông Tin'!$B$10="Web Giới Thiệu",OR(C34="🟢 Bắt buộc",AND(C34="🟡 Nên có",OR('📋 Thông Tin'!$D$10="Phổ thông (🟢+🟡)",'📋 Thông Tin'!$D$10="Nâng cao (🟢+🟡+⚪)")),AND(C34="⚪ Tùy chọn",'📋 Thông Tin'!$D$10="Nâng cao (🟢+🟡+⚪)"))),"✓ Có","✗ Không")</f>
        <v>✗ Không</v>
      </c>
      <c r="E34" s="16">
        <f>IF(D34="✓ Có",VLOOKUP(B34,'Hệ Số'!B:C,2,FALSE),0)</f>
        <v>0</v>
      </c>
      <c r="F34" s="8" t="s">
        <v>158</v>
      </c>
    </row>
    <row r="35" spans="1:6" ht="24" customHeight="1" x14ac:dyDescent="0.25">
      <c r="A35" s="9">
        <v>26</v>
      </c>
      <c r="B35" s="10" t="s">
        <v>159</v>
      </c>
      <c r="C35" s="17" t="s">
        <v>206</v>
      </c>
      <c r="D35" s="11" t="str">
        <f>IF(AND('📋 Thông Tin'!$B$10="Web Giới Thiệu",OR(C35="🟢 Bắt buộc",AND(C35="🟡 Nên có",OR('📋 Thông Tin'!$D$10="Phổ thông (🟢+🟡)",'📋 Thông Tin'!$D$10="Nâng cao (🟢+🟡+⚪)")),AND(C35="⚪ Tùy chọn",'📋 Thông Tin'!$D$10="Nâng cao (🟢+🟡+⚪)"))),"✓ Có","✗ Không")</f>
        <v>✗ Không</v>
      </c>
      <c r="E35" s="18">
        <f>IF(D35="✓ Có",VLOOKUP(B35,'Hệ Số'!B:C,2,FALSE),0)</f>
        <v>0</v>
      </c>
      <c r="F35" s="12" t="s">
        <v>160</v>
      </c>
    </row>
    <row r="36" spans="1:6" ht="26.1" customHeight="1" x14ac:dyDescent="0.25">
      <c r="A36" s="39" t="s">
        <v>164</v>
      </c>
      <c r="B36" s="39"/>
      <c r="C36" s="39"/>
      <c r="D36" s="39"/>
      <c r="E36" s="39"/>
      <c r="F36" s="39"/>
    </row>
    <row r="37" spans="1:6" ht="24" customHeight="1" x14ac:dyDescent="0.25">
      <c r="A37" s="5">
        <v>27</v>
      </c>
      <c r="B37" s="6" t="s">
        <v>165</v>
      </c>
      <c r="C37" s="15" t="s">
        <v>205</v>
      </c>
      <c r="D37" s="7" t="str">
        <f>IF(AND('📋 Thông Tin'!$B$10="Web Giới Thiệu",OR(C37="🟢 Bắt buộc",AND(C37="🟡 Nên có",OR('📋 Thông Tin'!$D$10="Phổ thông (🟢+🟡)",'📋 Thông Tin'!$D$10="Nâng cao (🟢+🟡+⚪)")),AND(C37="⚪ Tùy chọn",'📋 Thông Tin'!$D$10="Nâng cao (🟢+🟡+⚪)"))),"✓ Có","✗ Không")</f>
        <v>✗ Không</v>
      </c>
      <c r="E37" s="16">
        <f>IF(D37="✓ Có",VLOOKUP(B37,'Hệ Số'!B:C,2,FALSE),0)</f>
        <v>0</v>
      </c>
      <c r="F37" s="8" t="s">
        <v>3</v>
      </c>
    </row>
    <row r="38" spans="1:6" ht="24" customHeight="1" x14ac:dyDescent="0.25">
      <c r="A38" s="9">
        <v>28</v>
      </c>
      <c r="B38" s="10" t="s">
        <v>166</v>
      </c>
      <c r="C38" s="15" t="s">
        <v>205</v>
      </c>
      <c r="D38" s="11" t="str">
        <f>IF(AND('📋 Thông Tin'!$B$10="Web Giới Thiệu",OR(C38="🟢 Bắt buộc",AND(C38="🟡 Nên có",OR('📋 Thông Tin'!$D$10="Phổ thông (🟢+🟡)",'📋 Thông Tin'!$D$10="Nâng cao (🟢+🟡+⚪)")),AND(C38="⚪ Tùy chọn",'📋 Thông Tin'!$D$10="Nâng cao (🟢+🟡+⚪)"))),"✓ Có","✗ Không")</f>
        <v>✗ Không</v>
      </c>
      <c r="E38" s="18">
        <f>IF(D38="✓ Có",VLOOKUP(B38,'Hệ Số'!B:C,2,FALSE),0)</f>
        <v>0</v>
      </c>
      <c r="F38" s="12" t="s">
        <v>3</v>
      </c>
    </row>
    <row r="39" spans="1:6" ht="24" customHeight="1" x14ac:dyDescent="0.25">
      <c r="A39" s="5">
        <v>29</v>
      </c>
      <c r="B39" s="6" t="s">
        <v>167</v>
      </c>
      <c r="C39" s="20" t="s">
        <v>206</v>
      </c>
      <c r="D39" s="7" t="str">
        <f>IF(AND('📋 Thông Tin'!$B$10="Web Giới Thiệu",OR(C39="🟢 Bắt buộc",AND(C39="🟡 Nên có",OR('📋 Thông Tin'!$D$10="Phổ thông (🟢+🟡)",'📋 Thông Tin'!$D$10="Nâng cao (🟢+🟡+⚪)")),AND(C39="⚪ Tùy chọn",'📋 Thông Tin'!$D$10="Nâng cao (🟢+🟡+⚪)"))),"✓ Có","✗ Không")</f>
        <v>✗ Không</v>
      </c>
      <c r="E39" s="16">
        <f>IF(D39="✓ Có",VLOOKUP(B39,'Hệ Số'!B:C,2,FALSE),0)</f>
        <v>0</v>
      </c>
      <c r="F39" s="8" t="s">
        <v>168</v>
      </c>
    </row>
    <row r="40" spans="1:6" ht="24" customHeight="1" x14ac:dyDescent="0.25">
      <c r="A40" s="9">
        <v>30</v>
      </c>
      <c r="B40" s="10" t="s">
        <v>169</v>
      </c>
      <c r="C40" s="19" t="s">
        <v>207</v>
      </c>
      <c r="D40" s="11" t="str">
        <f>IF(AND('📋 Thông Tin'!$B$10="Web Giới Thiệu",OR(C40="🟢 Bắt buộc",AND(C40="🟡 Nên có",OR('📋 Thông Tin'!$D$10="Phổ thông (🟢+🟡)",'📋 Thông Tin'!$D$10="Nâng cao (🟢+🟡+⚪)")),AND(C40="⚪ Tùy chọn",'📋 Thông Tin'!$D$10="Nâng cao (🟢+🟡+⚪)"))),"✓ Có","✗ Không")</f>
        <v>✗ Không</v>
      </c>
      <c r="E40" s="18">
        <f>IF(D40="✓ Có",VLOOKUP(B40,'Hệ Số'!B:C,2,FALSE),0)</f>
        <v>0</v>
      </c>
      <c r="F40" s="12" t="s">
        <v>3</v>
      </c>
    </row>
    <row r="41" spans="1:6" ht="24" customHeight="1" x14ac:dyDescent="0.25">
      <c r="A41" s="5">
        <v>31</v>
      </c>
      <c r="B41" s="6" t="s">
        <v>170</v>
      </c>
      <c r="C41" s="19" t="s">
        <v>207</v>
      </c>
      <c r="D41" s="7" t="str">
        <f>IF(AND('📋 Thông Tin'!$B$10="Web Giới Thiệu",OR(C41="🟢 Bắt buộc",AND(C41="🟡 Nên có",OR('📋 Thông Tin'!$D$10="Phổ thông (🟢+🟡)",'📋 Thông Tin'!$D$10="Nâng cao (🟢+🟡+⚪)")),AND(C41="⚪ Tùy chọn",'📋 Thông Tin'!$D$10="Nâng cao (🟢+🟡+⚪)"))),"✓ Có","✗ Không")</f>
        <v>✗ Không</v>
      </c>
      <c r="E41" s="16">
        <f>IF(D41="✓ Có",VLOOKUP(B41,'Hệ Số'!B:C,2,FALSE),0)</f>
        <v>0</v>
      </c>
      <c r="F41" s="8" t="s">
        <v>3</v>
      </c>
    </row>
    <row r="42" spans="1:6" ht="24" customHeight="1" x14ac:dyDescent="0.25">
      <c r="A42" s="9">
        <v>32</v>
      </c>
      <c r="B42" s="10" t="s">
        <v>171</v>
      </c>
      <c r="C42" s="17" t="s">
        <v>206</v>
      </c>
      <c r="D42" s="11" t="str">
        <f>IF(AND('📋 Thông Tin'!$B$10="Web Giới Thiệu",OR(C42="🟢 Bắt buộc",AND(C42="🟡 Nên có",OR('📋 Thông Tin'!$D$10="Phổ thông (🟢+🟡)",'📋 Thông Tin'!$D$10="Nâng cao (🟢+🟡+⚪)")),AND(C42="⚪ Tùy chọn",'📋 Thông Tin'!$D$10="Nâng cao (🟢+🟡+⚪)"))),"✓ Có","✗ Không")</f>
        <v>✗ Không</v>
      </c>
      <c r="E42" s="18">
        <f>IF(D42="✓ Có",VLOOKUP(B42,'Hệ Số'!B:C,2,FALSE),0)</f>
        <v>0</v>
      </c>
      <c r="F42" s="12" t="s">
        <v>3</v>
      </c>
    </row>
    <row r="43" spans="1:6" ht="24" customHeight="1" x14ac:dyDescent="0.25">
      <c r="A43" s="5">
        <v>33</v>
      </c>
      <c r="B43" s="6" t="s">
        <v>172</v>
      </c>
      <c r="C43" s="15" t="s">
        <v>205</v>
      </c>
      <c r="D43" s="7" t="str">
        <f>IF(AND('📋 Thông Tin'!$B$10="Web Giới Thiệu",OR(C43="🟢 Bắt buộc",AND(C43="🟡 Nên có",OR('📋 Thông Tin'!$D$10="Phổ thông (🟢+🟡)",'📋 Thông Tin'!$D$10="Nâng cao (🟢+🟡+⚪)")),AND(C43="⚪ Tùy chọn",'📋 Thông Tin'!$D$10="Nâng cao (🟢+🟡+⚪)"))),"✓ Có","✗ Không")</f>
        <v>✗ Không</v>
      </c>
      <c r="E43" s="16">
        <f>IF(D43="✓ Có",VLOOKUP(B43,'Hệ Số'!B:C,2,FALSE),0)</f>
        <v>0</v>
      </c>
      <c r="F43" s="8" t="s">
        <v>173</v>
      </c>
    </row>
    <row r="44" spans="1:6" ht="24" customHeight="1" x14ac:dyDescent="0.25">
      <c r="A44" s="9">
        <v>34</v>
      </c>
      <c r="B44" s="10" t="s">
        <v>174</v>
      </c>
      <c r="C44" s="17" t="s">
        <v>206</v>
      </c>
      <c r="D44" s="11" t="str">
        <f>IF(AND('📋 Thông Tin'!$B$10="Web Giới Thiệu",OR(C44="🟢 Bắt buộc",AND(C44="🟡 Nên có",OR('📋 Thông Tin'!$D$10="Phổ thông (🟢+🟡)",'📋 Thông Tin'!$D$10="Nâng cao (🟢+🟡+⚪)")),AND(C44="⚪ Tùy chọn",'📋 Thông Tin'!$D$10="Nâng cao (🟢+🟡+⚪)"))),"✓ Có","✗ Không")</f>
        <v>✗ Không</v>
      </c>
      <c r="E44" s="18">
        <f>IF(D44="✓ Có",VLOOKUP(B44,'Hệ Số'!B:C,2,FALSE),0)</f>
        <v>0</v>
      </c>
      <c r="F44" s="12" t="s">
        <v>3</v>
      </c>
    </row>
    <row r="45" spans="1:6" ht="24" customHeight="1" x14ac:dyDescent="0.25">
      <c r="A45" s="5">
        <v>35</v>
      </c>
      <c r="B45" s="6" t="s">
        <v>175</v>
      </c>
      <c r="C45" s="20" t="s">
        <v>206</v>
      </c>
      <c r="D45" s="7" t="str">
        <f>IF(AND('📋 Thông Tin'!$B$10="Web Giới Thiệu",OR(C45="🟢 Bắt buộc",AND(C45="🟡 Nên có",OR('📋 Thông Tin'!$D$10="Phổ thông (🟢+🟡)",'📋 Thông Tin'!$D$10="Nâng cao (🟢+🟡+⚪)")),AND(C45="⚪ Tùy chọn",'📋 Thông Tin'!$D$10="Nâng cao (🟢+🟡+⚪)"))),"✓ Có","✗ Không")</f>
        <v>✗ Không</v>
      </c>
      <c r="E45" s="16">
        <f>IF(D45="✓ Có",VLOOKUP(B45,'Hệ Số'!B:C,2,FALSE),0)</f>
        <v>0</v>
      </c>
      <c r="F45" s="8" t="s">
        <v>176</v>
      </c>
    </row>
    <row r="46" spans="1:6" ht="24" customHeight="1" x14ac:dyDescent="0.25">
      <c r="A46" s="9">
        <v>36</v>
      </c>
      <c r="B46" s="10" t="s">
        <v>177</v>
      </c>
      <c r="C46" s="19" t="s">
        <v>207</v>
      </c>
      <c r="D46" s="11" t="str">
        <f>IF(AND('📋 Thông Tin'!$B$10="Web Giới Thiệu",OR(C46="🟢 Bắt buộc",AND(C46="🟡 Nên có",OR('📋 Thông Tin'!$D$10="Phổ thông (🟢+🟡)",'📋 Thông Tin'!$D$10="Nâng cao (🟢+🟡+⚪)")),AND(C46="⚪ Tùy chọn",'📋 Thông Tin'!$D$10="Nâng cao (🟢+🟡+⚪)"))),"✓ Có","✗ Không")</f>
        <v>✗ Không</v>
      </c>
      <c r="E46" s="18">
        <f>IF(D46="✓ Có",VLOOKUP(B46,'Hệ Số'!B:C,2,FALSE),0)</f>
        <v>0</v>
      </c>
      <c r="F46" s="12" t="s">
        <v>178</v>
      </c>
    </row>
    <row r="47" spans="1:6" ht="24" customHeight="1" x14ac:dyDescent="0.25">
      <c r="A47" s="5">
        <v>37</v>
      </c>
      <c r="B47" s="6" t="s">
        <v>179</v>
      </c>
      <c r="C47" s="20" t="s">
        <v>206</v>
      </c>
      <c r="D47" s="7" t="str">
        <f>IF(AND('📋 Thông Tin'!$B$10="Web Giới Thiệu",OR(C47="🟢 Bắt buộc",AND(C47="🟡 Nên có",OR('📋 Thông Tin'!$D$10="Phổ thông (🟢+🟡)",'📋 Thông Tin'!$D$10="Nâng cao (🟢+🟡+⚪)")),AND(C47="⚪ Tùy chọn",'📋 Thông Tin'!$D$10="Nâng cao (🟢+🟡+⚪)"))),"✓ Có","✗ Không")</f>
        <v>✗ Không</v>
      </c>
      <c r="E47" s="16">
        <f>IF(D47="✓ Có",VLOOKUP(B47,'Hệ Số'!B:C,2,FALSE),0)</f>
        <v>0</v>
      </c>
      <c r="F47" s="8" t="s">
        <v>3</v>
      </c>
    </row>
    <row r="48" spans="1:6" ht="26.1" customHeight="1" x14ac:dyDescent="0.25">
      <c r="A48" s="39" t="s">
        <v>180</v>
      </c>
      <c r="B48" s="39"/>
      <c r="C48" s="39"/>
      <c r="D48" s="39"/>
      <c r="E48" s="39"/>
      <c r="F48" s="39"/>
    </row>
    <row r="49" spans="1:6" ht="24" customHeight="1" x14ac:dyDescent="0.25">
      <c r="A49" s="9">
        <v>38</v>
      </c>
      <c r="B49" s="10" t="s">
        <v>181</v>
      </c>
      <c r="C49" s="17" t="s">
        <v>206</v>
      </c>
      <c r="D49" s="11" t="str">
        <f>IF(AND('📋 Thông Tin'!$B$10="Web Giới Thiệu",OR(C49="🟢 Bắt buộc",AND(C49="🟡 Nên có",OR('📋 Thông Tin'!$D$10="Phổ thông (🟢+🟡)",'📋 Thông Tin'!$D$10="Nâng cao (🟢+🟡+⚪)")),AND(C49="⚪ Tùy chọn",'📋 Thông Tin'!$D$10="Nâng cao (🟢+🟡+⚪)"))),"✓ Có","✗ Không")</f>
        <v>✗ Không</v>
      </c>
      <c r="E49" s="18">
        <f>IF(D49="✓ Có",VLOOKUP(B49,'Hệ Số'!B:C,2,FALSE),0)</f>
        <v>0</v>
      </c>
      <c r="F49" s="12" t="s">
        <v>182</v>
      </c>
    </row>
    <row r="50" spans="1:6" ht="24" customHeight="1" x14ac:dyDescent="0.25">
      <c r="A50" s="5">
        <v>39</v>
      </c>
      <c r="B50" s="6" t="s">
        <v>183</v>
      </c>
      <c r="C50" s="20" t="s">
        <v>206</v>
      </c>
      <c r="D50" s="7" t="str">
        <f>IF(AND('📋 Thông Tin'!$B$10="Web Giới Thiệu",OR(C50="🟢 Bắt buộc",AND(C50="🟡 Nên có",OR('📋 Thông Tin'!$D$10="Phổ thông (🟢+🟡)",'📋 Thông Tin'!$D$10="Nâng cao (🟢+🟡+⚪)")),AND(C50="⚪ Tùy chọn",'📋 Thông Tin'!$D$10="Nâng cao (🟢+🟡+⚪)"))),"✓ Có","✗ Không")</f>
        <v>✗ Không</v>
      </c>
      <c r="E50" s="16">
        <f>IF(D50="✓ Có",VLOOKUP(B50,'Hệ Số'!B:C,2,FALSE),0)</f>
        <v>0</v>
      </c>
      <c r="F50" s="8" t="s">
        <v>3</v>
      </c>
    </row>
    <row r="51" spans="1:6" ht="24" customHeight="1" x14ac:dyDescent="0.25">
      <c r="A51" s="9">
        <v>40</v>
      </c>
      <c r="B51" s="10" t="s">
        <v>184</v>
      </c>
      <c r="C51" s="17" t="s">
        <v>206</v>
      </c>
      <c r="D51" s="11" t="str">
        <f>IF(AND('📋 Thông Tin'!$B$10="Web Giới Thiệu",OR(C51="🟢 Bắt buộc",AND(C51="🟡 Nên có",OR('📋 Thông Tin'!$D$10="Phổ thông (🟢+🟡)",'📋 Thông Tin'!$D$10="Nâng cao (🟢+🟡+⚪)")),AND(C51="⚪ Tùy chọn",'📋 Thông Tin'!$D$10="Nâng cao (🟢+🟡+⚪)"))),"✓ Có","✗ Không")</f>
        <v>✗ Không</v>
      </c>
      <c r="E51" s="18">
        <f>IF(D51="✓ Có",VLOOKUP(B51,'Hệ Số'!B:C,2,FALSE),0)</f>
        <v>0</v>
      </c>
      <c r="F51" s="12" t="s">
        <v>185</v>
      </c>
    </row>
    <row r="52" spans="1:6" ht="24" customHeight="1" x14ac:dyDescent="0.25">
      <c r="A52" s="5">
        <v>41</v>
      </c>
      <c r="B52" s="6" t="s">
        <v>186</v>
      </c>
      <c r="C52" s="20" t="s">
        <v>206</v>
      </c>
      <c r="D52" s="7" t="str">
        <f>IF(AND('📋 Thông Tin'!$B$10="Web Giới Thiệu",OR(C52="🟢 Bắt buộc",AND(C52="🟡 Nên có",OR('📋 Thông Tin'!$D$10="Phổ thông (🟢+🟡)",'📋 Thông Tin'!$D$10="Nâng cao (🟢+🟡+⚪)")),AND(C52="⚪ Tùy chọn",'📋 Thông Tin'!$D$10="Nâng cao (🟢+🟡+⚪)"))),"✓ Có","✗ Không")</f>
        <v>✗ Không</v>
      </c>
      <c r="E52" s="16">
        <f>IF(D52="✓ Có",VLOOKUP(B52,'Hệ Số'!B:C,2,FALSE),0)</f>
        <v>0</v>
      </c>
      <c r="F52" s="8" t="s">
        <v>187</v>
      </c>
    </row>
    <row r="53" spans="1:6" ht="24" customHeight="1" x14ac:dyDescent="0.25">
      <c r="A53" s="9">
        <v>42</v>
      </c>
      <c r="B53" s="10" t="s">
        <v>188</v>
      </c>
      <c r="C53" s="17" t="s">
        <v>206</v>
      </c>
      <c r="D53" s="11" t="str">
        <f>IF(AND('📋 Thông Tin'!$B$10="Web Giới Thiệu",OR(C53="🟢 Bắt buộc",AND(C53="🟡 Nên có",OR('📋 Thông Tin'!$D$10="Phổ thông (🟢+🟡)",'📋 Thông Tin'!$D$10="Nâng cao (🟢+🟡+⚪)")),AND(C53="⚪ Tùy chọn",'📋 Thông Tin'!$D$10="Nâng cao (🟢+🟡+⚪)"))),"✓ Có","✗ Không")</f>
        <v>✗ Không</v>
      </c>
      <c r="E53" s="18">
        <f>IF(D53="✓ Có",VLOOKUP(B53,'Hệ Số'!B:C,2,FALSE),0)</f>
        <v>0</v>
      </c>
      <c r="F53" s="12" t="s">
        <v>189</v>
      </c>
    </row>
    <row r="54" spans="1:6" ht="24" customHeight="1" x14ac:dyDescent="0.25">
      <c r="A54" s="5">
        <v>43</v>
      </c>
      <c r="B54" s="6" t="s">
        <v>190</v>
      </c>
      <c r="C54" s="20" t="s">
        <v>206</v>
      </c>
      <c r="D54" s="7" t="str">
        <f>IF(AND('📋 Thông Tin'!$B$10="Web Giới Thiệu",OR(C54="🟢 Bắt buộc",AND(C54="🟡 Nên có",OR('📋 Thông Tin'!$D$10="Phổ thông (🟢+🟡)",'📋 Thông Tin'!$D$10="Nâng cao (🟢+🟡+⚪)")),AND(C54="⚪ Tùy chọn",'📋 Thông Tin'!$D$10="Nâng cao (🟢+🟡+⚪)"))),"✓ Có","✗ Không")</f>
        <v>✗ Không</v>
      </c>
      <c r="E54" s="16">
        <f>IF(D54="✓ Có",VLOOKUP(B54,'Hệ Số'!B:C,2,FALSE),0)</f>
        <v>0</v>
      </c>
      <c r="F54" s="8" t="s">
        <v>3</v>
      </c>
    </row>
    <row r="55" spans="1:6" ht="24" customHeight="1" x14ac:dyDescent="0.25">
      <c r="A55" s="9">
        <v>44</v>
      </c>
      <c r="B55" s="10" t="s">
        <v>191</v>
      </c>
      <c r="C55" s="17" t="s">
        <v>206</v>
      </c>
      <c r="D55" s="11" t="str">
        <f>IF(AND('📋 Thông Tin'!$B$10="Web Giới Thiệu",OR(C55="🟢 Bắt buộc",AND(C55="🟡 Nên có",OR('📋 Thông Tin'!$D$10="Phổ thông (🟢+🟡)",'📋 Thông Tin'!$D$10="Nâng cao (🟢+🟡+⚪)")),AND(C55="⚪ Tùy chọn",'📋 Thông Tin'!$D$10="Nâng cao (🟢+🟡+⚪)"))),"✓ Có","✗ Không")</f>
        <v>✗ Không</v>
      </c>
      <c r="E55" s="18">
        <f>IF(D55="✓ Có",VLOOKUP(B55,'Hệ Số'!B:C,2,FALSE),0)</f>
        <v>0</v>
      </c>
      <c r="F55" s="12" t="s">
        <v>192</v>
      </c>
    </row>
    <row r="56" spans="1:6" ht="24" customHeight="1" x14ac:dyDescent="0.25">
      <c r="A56" s="5">
        <v>45</v>
      </c>
      <c r="B56" s="6" t="s">
        <v>193</v>
      </c>
      <c r="C56" s="20" t="s">
        <v>206</v>
      </c>
      <c r="D56" s="7" t="str">
        <f>IF(AND('📋 Thông Tin'!$B$10="Web Giới Thiệu",OR(C56="🟢 Bắt buộc",AND(C56="🟡 Nên có",OR('📋 Thông Tin'!$D$10="Phổ thông (🟢+🟡)",'📋 Thông Tin'!$D$10="Nâng cao (🟢+🟡+⚪)")),AND(C56="⚪ Tùy chọn",'📋 Thông Tin'!$D$10="Nâng cao (🟢+🟡+⚪)"))),"✓ Có","✗ Không")</f>
        <v>✗ Không</v>
      </c>
      <c r="E56" s="16">
        <f>IF(D56="✓ Có",VLOOKUP(B56,'Hệ Số'!B:C,2,FALSE),0)</f>
        <v>0</v>
      </c>
      <c r="F56" s="8" t="s">
        <v>3</v>
      </c>
    </row>
    <row r="57" spans="1:6" ht="24" customHeight="1" x14ac:dyDescent="0.25">
      <c r="A57" s="9">
        <v>46</v>
      </c>
      <c r="B57" s="10" t="s">
        <v>194</v>
      </c>
      <c r="C57" s="17" t="s">
        <v>206</v>
      </c>
      <c r="D57" s="11" t="str">
        <f>IF(AND('📋 Thông Tin'!$B$10="Web Giới Thiệu",OR(C57="🟢 Bắt buộc",AND(C57="🟡 Nên có",OR('📋 Thông Tin'!$D$10="Phổ thông (🟢+🟡)",'📋 Thông Tin'!$D$10="Nâng cao (🟢+🟡+⚪)")),AND(C57="⚪ Tùy chọn",'📋 Thông Tin'!$D$10="Nâng cao (🟢+🟡+⚪)"))),"✓ Có","✗ Không")</f>
        <v>✗ Không</v>
      </c>
      <c r="E57" s="18">
        <f>IF(D57="✓ Có",VLOOKUP(B57,'Hệ Số'!B:C,2,FALSE),0)</f>
        <v>0</v>
      </c>
      <c r="F57" s="12" t="s">
        <v>3</v>
      </c>
    </row>
    <row r="58" spans="1:6" ht="24" customHeight="1" x14ac:dyDescent="0.25">
      <c r="A58" s="5">
        <v>47</v>
      </c>
      <c r="B58" s="6" t="s">
        <v>195</v>
      </c>
      <c r="C58" s="20" t="s">
        <v>206</v>
      </c>
      <c r="D58" s="7" t="str">
        <f>IF(AND('📋 Thông Tin'!$B$10="Web Giới Thiệu",OR(C58="🟢 Bắt buộc",AND(C58="🟡 Nên có",OR('📋 Thông Tin'!$D$10="Phổ thông (🟢+🟡)",'📋 Thông Tin'!$D$10="Nâng cao (🟢+🟡+⚪)")),AND(C58="⚪ Tùy chọn",'📋 Thông Tin'!$D$10="Nâng cao (🟢+🟡+⚪)"))),"✓ Có","✗ Không")</f>
        <v>✗ Không</v>
      </c>
      <c r="E58" s="16">
        <f>IF(D58="✓ Có",VLOOKUP(B58,'Hệ Số'!B:C,2,FALSE),0)</f>
        <v>0</v>
      </c>
      <c r="F58" s="8" t="s">
        <v>3</v>
      </c>
    </row>
    <row r="59" spans="1:6" ht="26.1" customHeight="1" x14ac:dyDescent="0.25">
      <c r="A59" s="39" t="s">
        <v>196</v>
      </c>
      <c r="B59" s="39"/>
      <c r="C59" s="39"/>
      <c r="D59" s="39"/>
      <c r="E59" s="39"/>
      <c r="F59" s="39"/>
    </row>
    <row r="60" spans="1:6" ht="24" customHeight="1" x14ac:dyDescent="0.25">
      <c r="A60" s="9">
        <v>48</v>
      </c>
      <c r="B60" s="10" t="s">
        <v>197</v>
      </c>
      <c r="C60" s="17" t="s">
        <v>206</v>
      </c>
      <c r="D60" s="11" t="str">
        <f>IF(AND('📋 Thông Tin'!$B$10="Web Giới Thiệu",OR(C60="🟢 Bắt buộc",AND(C60="🟡 Nên có",OR('📋 Thông Tin'!$D$10="Phổ thông (🟢+🟡)",'📋 Thông Tin'!$D$10="Nâng cao (🟢+🟡+⚪)")),AND(C60="⚪ Tùy chọn",'📋 Thông Tin'!$D$10="Nâng cao (🟢+🟡+⚪)"))),"✓ Có","✗ Không")</f>
        <v>✗ Không</v>
      </c>
      <c r="E60" s="18">
        <f>IF(D60="✓ Có",VLOOKUP(B60,'Hệ Số'!B:C,2,FALSE),0)</f>
        <v>0</v>
      </c>
      <c r="F60" s="12" t="s">
        <v>198</v>
      </c>
    </row>
    <row r="61" spans="1:6" ht="24" customHeight="1" x14ac:dyDescent="0.25">
      <c r="A61" s="5">
        <v>49</v>
      </c>
      <c r="B61" s="6" t="s">
        <v>199</v>
      </c>
      <c r="C61" s="20" t="s">
        <v>206</v>
      </c>
      <c r="D61" s="7" t="str">
        <f>IF(AND('📋 Thông Tin'!$B$10="Web Giới Thiệu",OR(C61="🟢 Bắt buộc",AND(C61="🟡 Nên có",OR('📋 Thông Tin'!$D$10="Phổ thông (🟢+🟡)",'📋 Thông Tin'!$D$10="Nâng cao (🟢+🟡+⚪)")),AND(C61="⚪ Tùy chọn",'📋 Thông Tin'!$D$10="Nâng cao (🟢+🟡+⚪)"))),"✓ Có","✗ Không")</f>
        <v>✗ Không</v>
      </c>
      <c r="E61" s="16">
        <f>IF(D61="✓ Có",VLOOKUP(B61,'Hệ Số'!B:C,2,FALSE),0)</f>
        <v>0</v>
      </c>
      <c r="F61" s="8" t="s">
        <v>3</v>
      </c>
    </row>
    <row r="62" spans="1:6" ht="24" customHeight="1" x14ac:dyDescent="0.25">
      <c r="A62" s="9">
        <v>50</v>
      </c>
      <c r="B62" s="10" t="s">
        <v>200</v>
      </c>
      <c r="C62" s="17" t="s">
        <v>206</v>
      </c>
      <c r="D62" s="11" t="str">
        <f>IF(AND('📋 Thông Tin'!$B$10="Web Giới Thiệu",OR(C62="🟢 Bắt buộc",AND(C62="🟡 Nên có",OR('📋 Thông Tin'!$D$10="Phổ thông (🟢+🟡)",'📋 Thông Tin'!$D$10="Nâng cao (🟢+🟡+⚪)")),AND(C62="⚪ Tùy chọn",'📋 Thông Tin'!$D$10="Nâng cao (🟢+🟡+⚪)"))),"✓ Có","✗ Không")</f>
        <v>✗ Không</v>
      </c>
      <c r="E62" s="18">
        <f>IF(D62="✓ Có",VLOOKUP(B62,'Hệ Số'!B:C,2,FALSE),0)</f>
        <v>0</v>
      </c>
      <c r="F62" s="12" t="s">
        <v>3</v>
      </c>
    </row>
    <row r="63" spans="1:6" ht="24" customHeight="1" x14ac:dyDescent="0.25">
      <c r="A63" s="5">
        <v>51</v>
      </c>
      <c r="B63" s="6" t="s">
        <v>201</v>
      </c>
      <c r="C63" s="20" t="s">
        <v>206</v>
      </c>
      <c r="D63" s="7" t="str">
        <f>IF(AND('📋 Thông Tin'!$B$10="Web Giới Thiệu",OR(C63="🟢 Bắt buộc",AND(C63="🟡 Nên có",OR('📋 Thông Tin'!$D$10="Phổ thông (🟢+🟡)",'📋 Thông Tin'!$D$10="Nâng cao (🟢+🟡+⚪)")),AND(C63="⚪ Tùy chọn",'📋 Thông Tin'!$D$10="Nâng cao (🟢+🟡+⚪)"))),"✓ Có","✗ Không")</f>
        <v>✗ Không</v>
      </c>
      <c r="E63" s="16">
        <f>IF(D63="✓ Có",VLOOKUP(B63,'Hệ Số'!B:C,2,FALSE),0)</f>
        <v>0</v>
      </c>
      <c r="F63" s="8" t="s">
        <v>3</v>
      </c>
    </row>
    <row r="66" spans="1:6" ht="32.1" customHeight="1" x14ac:dyDescent="0.25">
      <c r="A66" s="35" t="s">
        <v>208</v>
      </c>
      <c r="B66" s="35"/>
      <c r="C66" s="35"/>
      <c r="D66" s="35"/>
      <c r="E66" s="35"/>
      <c r="F66" s="35"/>
    </row>
    <row r="67" spans="1:6" ht="30" customHeight="1" x14ac:dyDescent="0.25">
      <c r="A67" s="46" t="s">
        <v>209</v>
      </c>
      <c r="B67" s="46"/>
      <c r="C67" s="21"/>
      <c r="D67" s="21"/>
      <c r="E67" s="47">
        <f>SUM(E5:E63)</f>
        <v>0</v>
      </c>
      <c r="F67" s="47"/>
    </row>
    <row r="68" spans="1:6" ht="30" customHeight="1" x14ac:dyDescent="0.25">
      <c r="A68" s="46" t="s">
        <v>210</v>
      </c>
      <c r="B68" s="46"/>
      <c r="C68" s="21"/>
      <c r="D68" s="21"/>
      <c r="E68" s="47">
        <f>E67*1.5</f>
        <v>0</v>
      </c>
      <c r="F68" s="47"/>
    </row>
    <row r="69" spans="1:6" ht="30" customHeight="1" x14ac:dyDescent="0.25">
      <c r="A69" s="46" t="s">
        <v>257</v>
      </c>
      <c r="B69" s="46"/>
      <c r="C69" s="21"/>
      <c r="D69" s="21"/>
      <c r="E69" s="47">
        <f>CEILING(E68/8,1)</f>
        <v>0</v>
      </c>
      <c r="F69" s="47"/>
    </row>
    <row r="70" spans="1:6" ht="30" customHeight="1" x14ac:dyDescent="0.25">
      <c r="A70" s="42" t="s">
        <v>212</v>
      </c>
      <c r="B70" s="42"/>
      <c r="C70" s="22"/>
      <c r="D70" s="22"/>
      <c r="E70" s="43">
        <f>E69*1000000</f>
        <v>0</v>
      </c>
      <c r="F70" s="43"/>
    </row>
    <row r="72" spans="1:6" ht="26.1" customHeight="1" x14ac:dyDescent="0.25">
      <c r="A72" s="44" t="s">
        <v>213</v>
      </c>
      <c r="B72" s="44"/>
      <c r="C72" s="23"/>
      <c r="D72" s="23"/>
      <c r="E72" s="45">
        <f>E70*0.4</f>
        <v>0</v>
      </c>
      <c r="F72" s="45"/>
    </row>
    <row r="73" spans="1:6" ht="26.1" customHeight="1" x14ac:dyDescent="0.25">
      <c r="A73" s="44" t="s">
        <v>214</v>
      </c>
      <c r="B73" s="44"/>
      <c r="C73" s="23"/>
      <c r="D73" s="23"/>
      <c r="E73" s="45">
        <f>E70*0.6</f>
        <v>0</v>
      </c>
      <c r="F73" s="45"/>
    </row>
    <row r="75" spans="1:6" ht="24" customHeight="1" x14ac:dyDescent="0.25">
      <c r="A75" s="41" t="s">
        <v>215</v>
      </c>
      <c r="B75" s="41"/>
      <c r="C75" s="41"/>
      <c r="D75" s="41"/>
      <c r="E75" s="41"/>
      <c r="F75" s="41"/>
    </row>
  </sheetData>
  <mergeCells count="24">
    <mergeCell ref="A1:F1"/>
    <mergeCell ref="A4:F4"/>
    <mergeCell ref="A14:F14"/>
    <mergeCell ref="A24:F24"/>
    <mergeCell ref="A26:F26"/>
    <mergeCell ref="A29:F29"/>
    <mergeCell ref="A32:F32"/>
    <mergeCell ref="A36:F36"/>
    <mergeCell ref="A48:F48"/>
    <mergeCell ref="A59:F59"/>
    <mergeCell ref="A66:F66"/>
    <mergeCell ref="A67:B67"/>
    <mergeCell ref="E67:F67"/>
    <mergeCell ref="A68:B68"/>
    <mergeCell ref="E68:F68"/>
    <mergeCell ref="A73:B73"/>
    <mergeCell ref="E73:F73"/>
    <mergeCell ref="A75:F75"/>
    <mergeCell ref="A69:B69"/>
    <mergeCell ref="E69:F69"/>
    <mergeCell ref="A70:B70"/>
    <mergeCell ref="E70:F70"/>
    <mergeCell ref="A72:B72"/>
    <mergeCell ref="E72:F72"/>
  </mergeCells>
  <pageMargins left="0.7" right="0.7" top="0.75" bottom="0.75" header="0.3" footer="0.3"/>
  <pageSetup paperSize="9" orientation="landscape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5B7D1"/>
    <pageSetUpPr fitToPage="1"/>
  </sheetPr>
  <dimension ref="A1:F82"/>
  <sheetViews>
    <sheetView topLeftCell="A67" workbookViewId="0">
      <selection activeCell="C74" sqref="C74"/>
    </sheetView>
  </sheetViews>
  <sheetFormatPr defaultRowHeight="15" x14ac:dyDescent="0.25"/>
  <cols>
    <col min="1" max="1" width="5" customWidth="1"/>
    <col min="2" max="2" width="38" customWidth="1"/>
    <col min="3" max="3" width="14" customWidth="1"/>
    <col min="4" max="4" width="12" customWidth="1"/>
    <col min="5" max="5" width="10" customWidth="1"/>
    <col min="6" max="6" width="28" customWidth="1"/>
  </cols>
  <sheetData>
    <row r="1" spans="1:6" ht="36" customHeight="1" x14ac:dyDescent="0.25">
      <c r="A1" s="40" t="s">
        <v>217</v>
      </c>
      <c r="B1" s="40"/>
      <c r="C1" s="40"/>
      <c r="D1" s="40"/>
      <c r="E1" s="40"/>
      <c r="F1" s="40"/>
    </row>
    <row r="3" spans="1:6" ht="26.1" customHeight="1" x14ac:dyDescent="0.25">
      <c r="A3" s="4" t="s">
        <v>15</v>
      </c>
      <c r="B3" s="4" t="s">
        <v>88</v>
      </c>
      <c r="C3" s="4" t="s">
        <v>203</v>
      </c>
      <c r="D3" s="4" t="s">
        <v>204</v>
      </c>
      <c r="E3" s="4" t="s">
        <v>89</v>
      </c>
      <c r="F3" s="4" t="s">
        <v>90</v>
      </c>
    </row>
    <row r="4" spans="1:6" ht="26.1" customHeight="1" x14ac:dyDescent="0.25">
      <c r="A4" s="39" t="s">
        <v>91</v>
      </c>
      <c r="B4" s="39"/>
      <c r="C4" s="39"/>
      <c r="D4" s="39"/>
      <c r="E4" s="39"/>
      <c r="F4" s="39"/>
    </row>
    <row r="5" spans="1:6" ht="24" customHeight="1" x14ac:dyDescent="0.25">
      <c r="A5" s="5">
        <v>1</v>
      </c>
      <c r="B5" s="6" t="s">
        <v>92</v>
      </c>
      <c r="C5" s="15" t="s">
        <v>205</v>
      </c>
      <c r="D5" s="7" t="str">
        <f>IF(AND('📋 Thông Tin'!$B$10="Web Doanh Nghiệp",OR(C5="🟢 Bắt buộc",AND(C5="🟡 Nên có",OR('📋 Thông Tin'!$D$10="Phổ thông (🟢+🟡)",'📋 Thông Tin'!$D$10="Nâng cao (🟢+🟡+⚪)")),AND(C5="⚪ Tùy chọn",'📋 Thông Tin'!$D$10="Nâng cao (🟢+🟡+⚪)"))),"✓ Có","✗ Không")</f>
        <v>✗ Không</v>
      </c>
      <c r="E5" s="16">
        <f>IF(D5="✓ Có",VLOOKUP(B5,'Hệ Số'!B:C,2,FALSE),0)</f>
        <v>0</v>
      </c>
      <c r="F5" s="8" t="s">
        <v>3</v>
      </c>
    </row>
    <row r="6" spans="1:6" ht="24" customHeight="1" x14ac:dyDescent="0.25">
      <c r="A6" s="9">
        <v>2</v>
      </c>
      <c r="B6" s="10" t="s">
        <v>93</v>
      </c>
      <c r="C6" s="15" t="s">
        <v>205</v>
      </c>
      <c r="D6" s="11" t="str">
        <f>IF(AND('📋 Thông Tin'!$B$10="Web Doanh Nghiệp",OR(C6="🟢 Bắt buộc",AND(C6="🟡 Nên có",OR('📋 Thông Tin'!$D$10="Phổ thông (🟢+🟡)",'📋 Thông Tin'!$D$10="Nâng cao (🟢+🟡+⚪)")),AND(C6="⚪ Tùy chọn",'📋 Thông Tin'!$D$10="Nâng cao (🟢+🟡+⚪)"))),"✓ Có","✗ Không")</f>
        <v>✗ Không</v>
      </c>
      <c r="E6" s="18">
        <f>IF(D6="✓ Có",VLOOKUP(B6,'Hệ Số'!B:C,2,FALSE),0)</f>
        <v>0</v>
      </c>
      <c r="F6" s="12" t="s">
        <v>3</v>
      </c>
    </row>
    <row r="7" spans="1:6" ht="24" customHeight="1" x14ac:dyDescent="0.25">
      <c r="A7" s="5">
        <v>3</v>
      </c>
      <c r="B7" s="6" t="s">
        <v>94</v>
      </c>
      <c r="C7" s="15" t="s">
        <v>205</v>
      </c>
      <c r="D7" s="7" t="str">
        <f>IF(AND('📋 Thông Tin'!$B$10="Web Doanh Nghiệp",OR(C7="🟢 Bắt buộc",AND(C7="🟡 Nên có",OR('📋 Thông Tin'!$D$10="Phổ thông (🟢+🟡)",'📋 Thông Tin'!$D$10="Nâng cao (🟢+🟡+⚪)")),AND(C7="⚪ Tùy chọn",'📋 Thông Tin'!$D$10="Nâng cao (🟢+🟡+⚪)"))),"✓ Có","✗ Không")</f>
        <v>✗ Không</v>
      </c>
      <c r="E7" s="16">
        <f>IF(D7="✓ Có",VLOOKUP(B7,'Hệ Số'!B:C,2,FALSE),0)</f>
        <v>0</v>
      </c>
      <c r="F7" s="8" t="s">
        <v>3</v>
      </c>
    </row>
    <row r="8" spans="1:6" ht="24" customHeight="1" x14ac:dyDescent="0.25">
      <c r="A8" s="9">
        <v>4</v>
      </c>
      <c r="B8" s="10" t="s">
        <v>95</v>
      </c>
      <c r="C8" s="15" t="s">
        <v>205</v>
      </c>
      <c r="D8" s="11" t="str">
        <f>IF(AND('📋 Thông Tin'!$B$10="Web Doanh Nghiệp",OR(C8="🟢 Bắt buộc",AND(C8="🟡 Nên có",OR('📋 Thông Tin'!$D$10="Phổ thông (🟢+🟡)",'📋 Thông Tin'!$D$10="Nâng cao (🟢+🟡+⚪)")),AND(C8="⚪ Tùy chọn",'📋 Thông Tin'!$D$10="Nâng cao (🟢+🟡+⚪)"))),"✓ Có","✗ Không")</f>
        <v>✗ Không</v>
      </c>
      <c r="E8" s="18">
        <f>IF(D8="✓ Có",VLOOKUP(B8,'Hệ Số'!B:C,2,FALSE),0)</f>
        <v>0</v>
      </c>
      <c r="F8" s="12" t="s">
        <v>3</v>
      </c>
    </row>
    <row r="9" spans="1:6" ht="24" customHeight="1" x14ac:dyDescent="0.25">
      <c r="A9" s="5">
        <v>5</v>
      </c>
      <c r="B9" s="6" t="s">
        <v>96</v>
      </c>
      <c r="C9" s="15" t="s">
        <v>205</v>
      </c>
      <c r="D9" s="7" t="str">
        <f>IF(AND('📋 Thông Tin'!$B$10="Web Doanh Nghiệp",OR(C9="🟢 Bắt buộc",AND(C9="🟡 Nên có",OR('📋 Thông Tin'!$D$10="Phổ thông (🟢+🟡)",'📋 Thông Tin'!$D$10="Nâng cao (🟢+🟡+⚪)")),AND(C9="⚪ Tùy chọn",'📋 Thông Tin'!$D$10="Nâng cao (🟢+🟡+⚪)"))),"✓ Có","✗ Không")</f>
        <v>✗ Không</v>
      </c>
      <c r="E9" s="16">
        <f>IF(D9="✓ Có",VLOOKUP(B9,'Hệ Số'!B:C,2,FALSE),0)</f>
        <v>0</v>
      </c>
      <c r="F9" s="8" t="s">
        <v>97</v>
      </c>
    </row>
    <row r="10" spans="1:6" ht="24" customHeight="1" x14ac:dyDescent="0.25">
      <c r="A10" s="9">
        <v>6</v>
      </c>
      <c r="B10" s="10" t="s">
        <v>98</v>
      </c>
      <c r="C10" s="15" t="s">
        <v>205</v>
      </c>
      <c r="D10" s="11" t="str">
        <f>IF(AND('📋 Thông Tin'!$B$10="Web Doanh Nghiệp",OR(C10="🟢 Bắt buộc",AND(C10="🟡 Nên có",OR('📋 Thông Tin'!$D$10="Phổ thông (🟢+🟡)",'📋 Thông Tin'!$D$10="Nâng cao (🟢+🟡+⚪)")),AND(C10="⚪ Tùy chọn",'📋 Thông Tin'!$D$10="Nâng cao (🟢+🟡+⚪)"))),"✓ Có","✗ Không")</f>
        <v>✗ Không</v>
      </c>
      <c r="E10" s="18">
        <f>IF(D10="✓ Có",VLOOKUP(B10,'Hệ Số'!B:C,2,FALSE),0)</f>
        <v>0</v>
      </c>
      <c r="F10" s="12" t="s">
        <v>3</v>
      </c>
    </row>
    <row r="11" spans="1:6" ht="24" customHeight="1" x14ac:dyDescent="0.25">
      <c r="A11" s="5">
        <v>7</v>
      </c>
      <c r="B11" s="6" t="s">
        <v>99</v>
      </c>
      <c r="C11" s="19" t="s">
        <v>207</v>
      </c>
      <c r="D11" s="7" t="str">
        <f>IF(AND('📋 Thông Tin'!$B$10="Web Doanh Nghiệp",OR(C11="🟢 Bắt buộc",AND(C11="🟡 Nên có",OR('📋 Thông Tin'!$D$10="Phổ thông (🟢+🟡)",'📋 Thông Tin'!$D$10="Nâng cao (🟢+🟡+⚪)")),AND(C11="⚪ Tùy chọn",'📋 Thông Tin'!$D$10="Nâng cao (🟢+🟡+⚪)"))),"✓ Có","✗ Không")</f>
        <v>✗ Không</v>
      </c>
      <c r="E11" s="16">
        <f>IF(D11="✓ Có",VLOOKUP(B11,'Hệ Số'!B:C,2,FALSE),0)</f>
        <v>0</v>
      </c>
      <c r="F11" s="8" t="s">
        <v>100</v>
      </c>
    </row>
    <row r="12" spans="1:6" ht="24" customHeight="1" x14ac:dyDescent="0.25">
      <c r="A12" s="9">
        <v>8</v>
      </c>
      <c r="B12" s="10" t="s">
        <v>101</v>
      </c>
      <c r="C12" s="19" t="s">
        <v>207</v>
      </c>
      <c r="D12" s="11" t="str">
        <f>IF(AND('📋 Thông Tin'!$B$10="Web Doanh Nghiệp",OR(C12="🟢 Bắt buộc",AND(C12="🟡 Nên có",OR('📋 Thông Tin'!$D$10="Phổ thông (🟢+🟡)",'📋 Thông Tin'!$D$10="Nâng cao (🟢+🟡+⚪)")),AND(C12="⚪ Tùy chọn",'📋 Thông Tin'!$D$10="Nâng cao (🟢+🟡+⚪)"))),"✓ Có","✗ Không")</f>
        <v>✗ Không</v>
      </c>
      <c r="E12" s="18">
        <f>IF(D12="✓ Có",VLOOKUP(B12,'Hệ Số'!B:C,2,FALSE),0)</f>
        <v>0</v>
      </c>
      <c r="F12" s="12" t="s">
        <v>3</v>
      </c>
    </row>
    <row r="13" spans="1:6" ht="24" customHeight="1" x14ac:dyDescent="0.25">
      <c r="A13" s="5">
        <v>9</v>
      </c>
      <c r="B13" s="6" t="s">
        <v>102</v>
      </c>
      <c r="C13" s="19" t="s">
        <v>207</v>
      </c>
      <c r="D13" s="7" t="str">
        <f>IF(AND('📋 Thông Tin'!$B$10="Web Doanh Nghiệp",OR(C13="🟢 Bắt buộc",AND(C13="🟡 Nên có",OR('📋 Thông Tin'!$D$10="Phổ thông (🟢+🟡)",'📋 Thông Tin'!$D$10="Nâng cao (🟢+🟡+⚪)")),AND(C13="⚪ Tùy chọn",'📋 Thông Tin'!$D$10="Nâng cao (🟢+🟡+⚪)"))),"✓ Có","✗ Không")</f>
        <v>✗ Không</v>
      </c>
      <c r="E13" s="16">
        <f>IF(D13="✓ Có",VLOOKUP(B13,'Hệ Số'!B:C,2,FALSE),0)</f>
        <v>0</v>
      </c>
      <c r="F13" s="8" t="s">
        <v>103</v>
      </c>
    </row>
    <row r="14" spans="1:6" ht="26.1" customHeight="1" x14ac:dyDescent="0.25">
      <c r="A14" s="39" t="s">
        <v>104</v>
      </c>
      <c r="B14" s="39"/>
      <c r="C14" s="39"/>
      <c r="D14" s="39"/>
      <c r="E14" s="39"/>
      <c r="F14" s="39"/>
    </row>
    <row r="15" spans="1:6" ht="24" customHeight="1" x14ac:dyDescent="0.25">
      <c r="A15" s="9">
        <v>10</v>
      </c>
      <c r="B15" s="10" t="s">
        <v>105</v>
      </c>
      <c r="C15" s="15" t="s">
        <v>205</v>
      </c>
      <c r="D15" s="11" t="str">
        <f>IF(AND('📋 Thông Tin'!$B$10="Web Doanh Nghiệp",OR(C15="🟢 Bắt buộc",AND(C15="🟡 Nên có",OR('📋 Thông Tin'!$D$10="Phổ thông (🟢+🟡)",'📋 Thông Tin'!$D$10="Nâng cao (🟢+🟡+⚪)")),AND(C15="⚪ Tùy chọn",'📋 Thông Tin'!$D$10="Nâng cao (🟢+🟡+⚪)"))),"✓ Có","✗ Không")</f>
        <v>✗ Không</v>
      </c>
      <c r="E15" s="18">
        <f>IF(D15="✓ Có",VLOOKUP(B15,'Hệ Số'!B:C,2,FALSE),0)</f>
        <v>0</v>
      </c>
      <c r="F15" s="12" t="s">
        <v>106</v>
      </c>
    </row>
    <row r="16" spans="1:6" ht="24" customHeight="1" x14ac:dyDescent="0.25">
      <c r="A16" s="5">
        <v>11</v>
      </c>
      <c r="B16" s="6" t="s">
        <v>107</v>
      </c>
      <c r="C16" s="19" t="s">
        <v>207</v>
      </c>
      <c r="D16" s="7" t="str">
        <f>IF(AND('📋 Thông Tin'!$B$10="Web Doanh Nghiệp",OR(C16="🟢 Bắt buộc",AND(C16="🟡 Nên có",OR('📋 Thông Tin'!$D$10="Phổ thông (🟢+🟡)",'📋 Thông Tin'!$D$10="Nâng cao (🟢+🟡+⚪)")),AND(C16="⚪ Tùy chọn",'📋 Thông Tin'!$D$10="Nâng cao (🟢+🟡+⚪)"))),"✓ Có","✗ Không")</f>
        <v>✗ Không</v>
      </c>
      <c r="E16" s="16">
        <f>IF(D16="✓ Có",VLOOKUP(B16,'Hệ Số'!B:C,2,FALSE),0)</f>
        <v>0</v>
      </c>
      <c r="F16" s="8" t="s">
        <v>108</v>
      </c>
    </row>
    <row r="17" spans="1:6" ht="24" customHeight="1" x14ac:dyDescent="0.25">
      <c r="A17" s="9">
        <v>12</v>
      </c>
      <c r="B17" s="10" t="s">
        <v>109</v>
      </c>
      <c r="C17" s="15" t="s">
        <v>205</v>
      </c>
      <c r="D17" s="11" t="str">
        <f>IF(AND('📋 Thông Tin'!$B$10="Web Doanh Nghiệp",OR(C17="🟢 Bắt buộc",AND(C17="🟡 Nên có",OR('📋 Thông Tin'!$D$10="Phổ thông (🟢+🟡)",'📋 Thông Tin'!$D$10="Nâng cao (🟢+🟡+⚪)")),AND(C17="⚪ Tùy chọn",'📋 Thông Tin'!$D$10="Nâng cao (🟢+🟡+⚪)"))),"✓ Có","✗ Không")</f>
        <v>✗ Không</v>
      </c>
      <c r="E17" s="18">
        <f>IF(D17="✓ Có",VLOOKUP(B17,'Hệ Số'!B:C,2,FALSE),0)</f>
        <v>0</v>
      </c>
      <c r="F17" s="12" t="s">
        <v>110</v>
      </c>
    </row>
    <row r="18" spans="1:6" ht="24" customHeight="1" x14ac:dyDescent="0.25">
      <c r="A18" s="5">
        <v>13</v>
      </c>
      <c r="B18" s="6" t="s">
        <v>111</v>
      </c>
      <c r="C18" s="19" t="s">
        <v>207</v>
      </c>
      <c r="D18" s="7" t="str">
        <f>IF(AND('📋 Thông Tin'!$B$10="Web Doanh Nghiệp",OR(C18="🟢 Bắt buộc",AND(C18="🟡 Nên có",OR('📋 Thông Tin'!$D$10="Phổ thông (🟢+🟡)",'📋 Thông Tin'!$D$10="Nâng cao (🟢+🟡+⚪)")),AND(C18="⚪ Tùy chọn",'📋 Thông Tin'!$D$10="Nâng cao (🟢+🟡+⚪)"))),"✓ Có","✗ Không")</f>
        <v>✗ Không</v>
      </c>
      <c r="E18" s="16">
        <f>IF(D18="✓ Có",VLOOKUP(B18,'Hệ Số'!B:C,2,FALSE),0)</f>
        <v>0</v>
      </c>
      <c r="F18" s="8" t="s">
        <v>112</v>
      </c>
    </row>
    <row r="19" spans="1:6" ht="24" customHeight="1" x14ac:dyDescent="0.25">
      <c r="A19" s="9">
        <v>14</v>
      </c>
      <c r="B19" s="10" t="s">
        <v>113</v>
      </c>
      <c r="C19" s="19" t="s">
        <v>207</v>
      </c>
      <c r="D19" s="11" t="str">
        <f>IF(AND('📋 Thông Tin'!$B$10="Web Doanh Nghiệp",OR(C19="🟢 Bắt buộc",AND(C19="🟡 Nên có",OR('📋 Thông Tin'!$D$10="Phổ thông (🟢+🟡)",'📋 Thông Tin'!$D$10="Nâng cao (🟢+🟡+⚪)")),AND(C19="⚪ Tùy chọn",'📋 Thông Tin'!$D$10="Nâng cao (🟢+🟡+⚪)"))),"✓ Có","✗ Không")</f>
        <v>✗ Không</v>
      </c>
      <c r="E19" s="18">
        <f>IF(D19="✓ Có",VLOOKUP(B19,'Hệ Số'!B:C,2,FALSE),0)</f>
        <v>0</v>
      </c>
      <c r="F19" s="12" t="s">
        <v>114</v>
      </c>
    </row>
    <row r="20" spans="1:6" ht="24" customHeight="1" x14ac:dyDescent="0.25">
      <c r="A20" s="5">
        <v>15</v>
      </c>
      <c r="B20" s="6" t="s">
        <v>115</v>
      </c>
      <c r="C20" s="19" t="s">
        <v>207</v>
      </c>
      <c r="D20" s="7" t="str">
        <f>IF(AND('📋 Thông Tin'!$B$10="Web Doanh Nghiệp",OR(C20="🟢 Bắt buộc",AND(C20="🟡 Nên có",OR('📋 Thông Tin'!$D$10="Phổ thông (🟢+🟡)",'📋 Thông Tin'!$D$10="Nâng cao (🟢+🟡+⚪)")),AND(C20="⚪ Tùy chọn",'📋 Thông Tin'!$D$10="Nâng cao (🟢+🟡+⚪)"))),"✓ Có","✗ Không")</f>
        <v>✗ Không</v>
      </c>
      <c r="E20" s="16">
        <f>IF(D20="✓ Có",VLOOKUP(B20,'Hệ Số'!B:C,2,FALSE),0)</f>
        <v>0</v>
      </c>
      <c r="F20" s="8" t="s">
        <v>116</v>
      </c>
    </row>
    <row r="21" spans="1:6" ht="24" customHeight="1" x14ac:dyDescent="0.25">
      <c r="A21" s="9">
        <v>16</v>
      </c>
      <c r="B21" s="10" t="s">
        <v>117</v>
      </c>
      <c r="C21" s="19" t="s">
        <v>207</v>
      </c>
      <c r="D21" s="11" t="str">
        <f>IF(AND('📋 Thông Tin'!$B$10="Web Doanh Nghiệp",OR(C21="🟢 Bắt buộc",AND(C21="🟡 Nên có",OR('📋 Thông Tin'!$D$10="Phổ thông (🟢+🟡)",'📋 Thông Tin'!$D$10="Nâng cao (🟢+🟡+⚪)")),AND(C21="⚪ Tùy chọn",'📋 Thông Tin'!$D$10="Nâng cao (🟢+🟡+⚪)"))),"✓ Có","✗ Không")</f>
        <v>✗ Không</v>
      </c>
      <c r="E21" s="18">
        <f>IF(D21="✓ Có",VLOOKUP(B21,'Hệ Số'!B:C,2,FALSE),0)</f>
        <v>0</v>
      </c>
      <c r="F21" s="12" t="s">
        <v>118</v>
      </c>
    </row>
    <row r="22" spans="1:6" ht="24" customHeight="1" x14ac:dyDescent="0.25">
      <c r="A22" s="5">
        <v>17</v>
      </c>
      <c r="B22" s="6" t="s">
        <v>119</v>
      </c>
      <c r="C22" s="20" t="s">
        <v>206</v>
      </c>
      <c r="D22" s="7" t="str">
        <f>IF(AND('📋 Thông Tin'!$B$10="Web Doanh Nghiệp",OR(C22="🟢 Bắt buộc",AND(C22="🟡 Nên có",OR('📋 Thông Tin'!$D$10="Phổ thông (🟢+🟡)",'📋 Thông Tin'!$D$10="Nâng cao (🟢+🟡+⚪)")),AND(C22="⚪ Tùy chọn",'📋 Thông Tin'!$D$10="Nâng cao (🟢+🟡+⚪)"))),"✓ Có","✗ Không")</f>
        <v>✗ Không</v>
      </c>
      <c r="E22" s="16">
        <f>IF(D22="✓ Có",VLOOKUP(B22,'Hệ Số'!B:C,2,FALSE),0)</f>
        <v>0</v>
      </c>
      <c r="F22" s="8" t="s">
        <v>3</v>
      </c>
    </row>
    <row r="23" spans="1:6" ht="24" customHeight="1" x14ac:dyDescent="0.25">
      <c r="A23" s="9">
        <v>18</v>
      </c>
      <c r="B23" s="10" t="s">
        <v>120</v>
      </c>
      <c r="C23" s="19" t="s">
        <v>207</v>
      </c>
      <c r="D23" s="11" t="str">
        <f>IF(AND('📋 Thông Tin'!$B$10="Web Doanh Nghiệp",OR(C23="🟢 Bắt buộc",AND(C23="🟡 Nên có",OR('📋 Thông Tin'!$D$10="Phổ thông (🟢+🟡)",'📋 Thông Tin'!$D$10="Nâng cao (🟢+🟡+⚪)")),AND(C23="⚪ Tùy chọn",'📋 Thông Tin'!$D$10="Nâng cao (🟢+🟡+⚪)"))),"✓ Có","✗ Không")</f>
        <v>✗ Không</v>
      </c>
      <c r="E23" s="18">
        <f>IF(D23="✓ Có",VLOOKUP(B23,'Hệ Số'!B:C,2,FALSE),0)</f>
        <v>0</v>
      </c>
      <c r="F23" s="12" t="s">
        <v>121</v>
      </c>
    </row>
    <row r="24" spans="1:6" ht="24" customHeight="1" x14ac:dyDescent="0.25">
      <c r="A24" s="5">
        <v>19</v>
      </c>
      <c r="B24" s="6" t="s">
        <v>122</v>
      </c>
      <c r="C24" s="20" t="s">
        <v>206</v>
      </c>
      <c r="D24" s="7" t="str">
        <f>IF(AND('📋 Thông Tin'!$B$10="Web Doanh Nghiệp",OR(C24="🟢 Bắt buộc",AND(C24="🟡 Nên có",OR('📋 Thông Tin'!$D$10="Phổ thông (🟢+🟡)",'📋 Thông Tin'!$D$10="Nâng cao (🟢+🟡+⚪)")),AND(C24="⚪ Tùy chọn",'📋 Thông Tin'!$D$10="Nâng cao (🟢+🟡+⚪)"))),"✓ Có","✗ Không")</f>
        <v>✗ Không</v>
      </c>
      <c r="E24" s="16">
        <f>IF(D24="✓ Có",VLOOKUP(B24,'Hệ Số'!B:C,2,FALSE),0)</f>
        <v>0</v>
      </c>
      <c r="F24" s="8" t="s">
        <v>123</v>
      </c>
    </row>
    <row r="25" spans="1:6" ht="26.1" customHeight="1" x14ac:dyDescent="0.25">
      <c r="A25" s="39" t="s">
        <v>124</v>
      </c>
      <c r="B25" s="39"/>
      <c r="C25" s="39"/>
      <c r="D25" s="39"/>
      <c r="E25" s="39"/>
      <c r="F25" s="39"/>
    </row>
    <row r="26" spans="1:6" ht="24" customHeight="1" x14ac:dyDescent="0.25">
      <c r="A26" s="9">
        <v>20</v>
      </c>
      <c r="B26" s="10" t="s">
        <v>125</v>
      </c>
      <c r="C26" s="17" t="s">
        <v>206</v>
      </c>
      <c r="D26" s="11" t="str">
        <f>IF(AND('📋 Thông Tin'!$B$10="Web Doanh Nghiệp",OR(C26="🟢 Bắt buộc",AND(C26="🟡 Nên có",OR('📋 Thông Tin'!$D$10="Phổ thông (🟢+🟡)",'📋 Thông Tin'!$D$10="Nâng cao (🟢+🟡+⚪)")),AND(C26="⚪ Tùy chọn",'📋 Thông Tin'!$D$10="Nâng cao (🟢+🟡+⚪)"))),"✓ Có","✗ Không")</f>
        <v>✗ Không</v>
      </c>
      <c r="E26" s="18">
        <f>IF(D26="✓ Có",VLOOKUP(B26,'Hệ Số'!B:C,2,FALSE),0)</f>
        <v>0</v>
      </c>
      <c r="F26" s="12" t="s">
        <v>126</v>
      </c>
    </row>
    <row r="27" spans="1:6" ht="26.1" customHeight="1" x14ac:dyDescent="0.25">
      <c r="A27" s="39" t="s">
        <v>137</v>
      </c>
      <c r="B27" s="39"/>
      <c r="C27" s="39"/>
      <c r="D27" s="39"/>
      <c r="E27" s="39"/>
      <c r="F27" s="39"/>
    </row>
    <row r="28" spans="1:6" ht="24" customHeight="1" x14ac:dyDescent="0.25">
      <c r="A28" s="5">
        <v>21</v>
      </c>
      <c r="B28" s="6" t="s">
        <v>138</v>
      </c>
      <c r="C28" s="19" t="s">
        <v>207</v>
      </c>
      <c r="D28" s="7" t="str">
        <f>IF(AND('📋 Thông Tin'!$B$10="Web Doanh Nghiệp",OR(C28="🟢 Bắt buộc",AND(C28="🟡 Nên có",OR('📋 Thông Tin'!$D$10="Phổ thông (🟢+🟡)",'📋 Thông Tin'!$D$10="Nâng cao (🟢+🟡+⚪)")),AND(C28="⚪ Tùy chọn",'📋 Thông Tin'!$D$10="Nâng cao (🟢+🟡+⚪)"))),"✓ Có","✗ Không")</f>
        <v>✗ Không</v>
      </c>
      <c r="E28" s="16">
        <f>IF(D28="✓ Có",VLOOKUP(B28,'Hệ Số'!B:C,2,FALSE),0)</f>
        <v>0</v>
      </c>
      <c r="F28" s="8" t="s">
        <v>139</v>
      </c>
    </row>
    <row r="29" spans="1:6" ht="24" customHeight="1" x14ac:dyDescent="0.25">
      <c r="A29" s="9">
        <v>22</v>
      </c>
      <c r="B29" s="10" t="s">
        <v>140</v>
      </c>
      <c r="C29" s="17" t="s">
        <v>206</v>
      </c>
      <c r="D29" s="11" t="str">
        <f>IF(AND('📋 Thông Tin'!$B$10="Web Doanh Nghiệp",OR(C29="🟢 Bắt buộc",AND(C29="🟡 Nên có",OR('📋 Thông Tin'!$D$10="Phổ thông (🟢+🟡)",'📋 Thông Tin'!$D$10="Nâng cao (🟢+🟡+⚪)")),AND(C29="⚪ Tùy chọn",'📋 Thông Tin'!$D$10="Nâng cao (🟢+🟡+⚪)"))),"✓ Có","✗ Không")</f>
        <v>✗ Không</v>
      </c>
      <c r="E29" s="18">
        <f>IF(D29="✓ Có",VLOOKUP(B29,'Hệ Số'!B:C,2,FALSE),0)</f>
        <v>0</v>
      </c>
      <c r="F29" s="12" t="s">
        <v>141</v>
      </c>
    </row>
    <row r="30" spans="1:6" ht="24" customHeight="1" x14ac:dyDescent="0.25">
      <c r="A30" s="5">
        <v>23</v>
      </c>
      <c r="B30" s="6" t="s">
        <v>142</v>
      </c>
      <c r="C30" s="20" t="s">
        <v>206</v>
      </c>
      <c r="D30" s="7" t="str">
        <f>IF(AND('📋 Thông Tin'!$B$10="Web Doanh Nghiệp",OR(C30="🟢 Bắt buộc",AND(C30="🟡 Nên có",OR('📋 Thông Tin'!$D$10="Phổ thông (🟢+🟡)",'📋 Thông Tin'!$D$10="Nâng cao (🟢+🟡+⚪)")),AND(C30="⚪ Tùy chọn",'📋 Thông Tin'!$D$10="Nâng cao (🟢+🟡+⚪)"))),"✓ Có","✗ Không")</f>
        <v>✗ Không</v>
      </c>
      <c r="E30" s="16">
        <f>IF(D30="✓ Có",VLOOKUP(B30,'Hệ Số'!B:C,2,FALSE),0)</f>
        <v>0</v>
      </c>
      <c r="F30" s="8" t="s">
        <v>143</v>
      </c>
    </row>
    <row r="31" spans="1:6" ht="24" customHeight="1" x14ac:dyDescent="0.25">
      <c r="A31" s="9">
        <v>24</v>
      </c>
      <c r="B31" s="10" t="s">
        <v>144</v>
      </c>
      <c r="C31" s="17" t="s">
        <v>206</v>
      </c>
      <c r="D31" s="11" t="str">
        <f>IF(AND('📋 Thông Tin'!$B$10="Web Doanh Nghiệp",OR(C31="🟢 Bắt buộc",AND(C31="🟡 Nên có",OR('📋 Thông Tin'!$D$10="Phổ thông (🟢+🟡)",'📋 Thông Tin'!$D$10="Nâng cao (🟢+🟡+⚪)")),AND(C31="⚪ Tùy chọn",'📋 Thông Tin'!$D$10="Nâng cao (🟢+🟡+⚪)"))),"✓ Có","✗ Không")</f>
        <v>✗ Không</v>
      </c>
      <c r="E31" s="18">
        <f>IF(D31="✓ Có",VLOOKUP(B31,'Hệ Số'!B:C,2,FALSE),0)</f>
        <v>0</v>
      </c>
      <c r="F31" s="12" t="s">
        <v>145</v>
      </c>
    </row>
    <row r="32" spans="1:6" ht="24" customHeight="1" x14ac:dyDescent="0.25">
      <c r="A32" s="5">
        <v>25</v>
      </c>
      <c r="B32" s="6" t="s">
        <v>146</v>
      </c>
      <c r="C32" s="20" t="s">
        <v>206</v>
      </c>
      <c r="D32" s="7" t="str">
        <f>IF(AND('📋 Thông Tin'!$B$10="Web Doanh Nghiệp",OR(C32="🟢 Bắt buộc",AND(C32="🟡 Nên có",OR('📋 Thông Tin'!$D$10="Phổ thông (🟢+🟡)",'📋 Thông Tin'!$D$10="Nâng cao (🟢+🟡+⚪)")),AND(C32="⚪ Tùy chọn",'📋 Thông Tin'!$D$10="Nâng cao (🟢+🟡+⚪)"))),"✓ Có","✗ Không")</f>
        <v>✗ Không</v>
      </c>
      <c r="E32" s="16">
        <f>IF(D32="✓ Có",VLOOKUP(B32,'Hệ Số'!B:C,2,FALSE),0)</f>
        <v>0</v>
      </c>
      <c r="F32" s="8" t="s">
        <v>147</v>
      </c>
    </row>
    <row r="33" spans="1:6" ht="26.1" customHeight="1" x14ac:dyDescent="0.25">
      <c r="A33" s="39" t="s">
        <v>148</v>
      </c>
      <c r="B33" s="39"/>
      <c r="C33" s="39"/>
      <c r="D33" s="39"/>
      <c r="E33" s="39"/>
      <c r="F33" s="39"/>
    </row>
    <row r="34" spans="1:6" ht="24" customHeight="1" x14ac:dyDescent="0.25">
      <c r="A34" s="9">
        <v>26</v>
      </c>
      <c r="B34" s="10" t="s">
        <v>149</v>
      </c>
      <c r="C34" s="17" t="s">
        <v>206</v>
      </c>
      <c r="D34" s="11" t="str">
        <f>IF(AND('📋 Thông Tin'!$B$10="Web Doanh Nghiệp",OR(C34="🟢 Bắt buộc",AND(C34="🟡 Nên có",OR('📋 Thông Tin'!$D$10="Phổ thông (🟢+🟡)",'📋 Thông Tin'!$D$10="Nâng cao (🟢+🟡+⚪)")),AND(C34="⚪ Tùy chọn",'📋 Thông Tin'!$D$10="Nâng cao (🟢+🟡+⚪)"))),"✓ Có","✗ Không")</f>
        <v>✗ Không</v>
      </c>
      <c r="E34" s="18">
        <f>IF(D34="✓ Có",VLOOKUP(B34,'Hệ Số'!B:C,2,FALSE),0)</f>
        <v>0</v>
      </c>
      <c r="F34" s="12" t="s">
        <v>3</v>
      </c>
    </row>
    <row r="35" spans="1:6" ht="24" customHeight="1" x14ac:dyDescent="0.25">
      <c r="A35" s="5">
        <v>27</v>
      </c>
      <c r="B35" s="6" t="s">
        <v>150</v>
      </c>
      <c r="C35" s="20" t="s">
        <v>206</v>
      </c>
      <c r="D35" s="7" t="str">
        <f>IF(AND('📋 Thông Tin'!$B$10="Web Doanh Nghiệp",OR(C35="🟢 Bắt buộc",AND(C35="🟡 Nên có",OR('📋 Thông Tin'!$D$10="Phổ thông (🟢+🟡)",'📋 Thông Tin'!$D$10="Nâng cao (🟢+🟡+⚪)")),AND(C35="⚪ Tùy chọn",'📋 Thông Tin'!$D$10="Nâng cao (🟢+🟡+⚪)"))),"✓ Có","✗ Không")</f>
        <v>✗ Không</v>
      </c>
      <c r="E35" s="16">
        <f>IF(D35="✓ Có",VLOOKUP(B35,'Hệ Số'!B:C,2,FALSE),0)</f>
        <v>0</v>
      </c>
      <c r="F35" s="8" t="s">
        <v>151</v>
      </c>
    </row>
    <row r="36" spans="1:6" ht="24" customHeight="1" x14ac:dyDescent="0.25">
      <c r="A36" s="9">
        <v>28</v>
      </c>
      <c r="B36" s="10" t="s">
        <v>152</v>
      </c>
      <c r="C36" s="17" t="s">
        <v>206</v>
      </c>
      <c r="D36" s="11" t="str">
        <f>IF(AND('📋 Thông Tin'!$B$10="Web Doanh Nghiệp",OR(C36="🟢 Bắt buộc",AND(C36="🟡 Nên có",OR('📋 Thông Tin'!$D$10="Phổ thông (🟢+🟡)",'📋 Thông Tin'!$D$10="Nâng cao (🟢+🟡+⚪)")),AND(C36="⚪ Tùy chọn",'📋 Thông Tin'!$D$10="Nâng cao (🟢+🟡+⚪)"))),"✓ Có","✗ Không")</f>
        <v>✗ Không</v>
      </c>
      <c r="E36" s="18">
        <f>IF(D36="✓ Có",VLOOKUP(B36,'Hệ Số'!B:C,2,FALSE),0)</f>
        <v>0</v>
      </c>
      <c r="F36" s="12" t="s">
        <v>153</v>
      </c>
    </row>
    <row r="37" spans="1:6" ht="26.1" customHeight="1" x14ac:dyDescent="0.25">
      <c r="A37" s="39" t="s">
        <v>154</v>
      </c>
      <c r="B37" s="39"/>
      <c r="C37" s="39"/>
      <c r="D37" s="39"/>
      <c r="E37" s="39"/>
      <c r="F37" s="39"/>
    </row>
    <row r="38" spans="1:6" ht="24" customHeight="1" x14ac:dyDescent="0.25">
      <c r="A38" s="5">
        <v>29</v>
      </c>
      <c r="B38" s="6" t="s">
        <v>155</v>
      </c>
      <c r="C38" s="19" t="s">
        <v>207</v>
      </c>
      <c r="D38" s="7" t="str">
        <f>IF(AND('📋 Thông Tin'!$B$10="Web Doanh Nghiệp",OR(C38="🟢 Bắt buộc",AND(C38="🟡 Nên có",OR('📋 Thông Tin'!$D$10="Phổ thông (🟢+🟡)",'📋 Thông Tin'!$D$10="Nâng cao (🟢+🟡+⚪)")),AND(C38="⚪ Tùy chọn",'📋 Thông Tin'!$D$10="Nâng cao (🟢+🟡+⚪)"))),"✓ Có","✗ Không")</f>
        <v>✗ Không</v>
      </c>
      <c r="E38" s="16">
        <f>IF(D38="✓ Có",VLOOKUP(B38,'Hệ Số'!B:C,2,FALSE),0)</f>
        <v>0</v>
      </c>
      <c r="F38" s="8" t="s">
        <v>156</v>
      </c>
    </row>
    <row r="39" spans="1:6" ht="24" customHeight="1" x14ac:dyDescent="0.25">
      <c r="A39" s="9">
        <v>30</v>
      </c>
      <c r="B39" s="10" t="s">
        <v>157</v>
      </c>
      <c r="C39" s="19" t="s">
        <v>207</v>
      </c>
      <c r="D39" s="11" t="str">
        <f>IF(AND('📋 Thông Tin'!$B$10="Web Doanh Nghiệp",OR(C39="🟢 Bắt buộc",AND(C39="🟡 Nên có",OR('📋 Thông Tin'!$D$10="Phổ thông (🟢+🟡)",'📋 Thông Tin'!$D$10="Nâng cao (🟢+🟡+⚪)")),AND(C39="⚪ Tùy chọn",'📋 Thông Tin'!$D$10="Nâng cao (🟢+🟡+⚪)"))),"✓ Có","✗ Không")</f>
        <v>✗ Không</v>
      </c>
      <c r="E39" s="18">
        <f>IF(D39="✓ Có",VLOOKUP(B39,'Hệ Số'!B:C,2,FALSE),0)</f>
        <v>0</v>
      </c>
      <c r="F39" s="12" t="s">
        <v>158</v>
      </c>
    </row>
    <row r="40" spans="1:6" ht="24" customHeight="1" x14ac:dyDescent="0.25">
      <c r="A40" s="5">
        <v>31</v>
      </c>
      <c r="B40" s="6" t="s">
        <v>159</v>
      </c>
      <c r="C40" s="20" t="s">
        <v>206</v>
      </c>
      <c r="D40" s="7" t="str">
        <f>IF(AND('📋 Thông Tin'!$B$10="Web Doanh Nghiệp",OR(C40="🟢 Bắt buộc",AND(C40="🟡 Nên có",OR('📋 Thông Tin'!$D$10="Phổ thông (🟢+🟡)",'📋 Thông Tin'!$D$10="Nâng cao (🟢+🟡+⚪)")),AND(C40="⚪ Tùy chọn",'📋 Thông Tin'!$D$10="Nâng cao (🟢+🟡+⚪)"))),"✓ Có","✗ Không")</f>
        <v>✗ Không</v>
      </c>
      <c r="E40" s="16">
        <f>IF(D40="✓ Có",VLOOKUP(B40,'Hệ Số'!B:C,2,FALSE),0)</f>
        <v>0</v>
      </c>
      <c r="F40" s="8" t="s">
        <v>160</v>
      </c>
    </row>
    <row r="41" spans="1:6" ht="24" customHeight="1" x14ac:dyDescent="0.25">
      <c r="A41" s="9">
        <v>32</v>
      </c>
      <c r="B41" s="10" t="s">
        <v>161</v>
      </c>
      <c r="C41" s="17" t="s">
        <v>206</v>
      </c>
      <c r="D41" s="11" t="str">
        <f>IF(AND('📋 Thông Tin'!$B$10="Web Doanh Nghiệp",OR(C41="🟢 Bắt buộc",AND(C41="🟡 Nên có",OR('📋 Thông Tin'!$D$10="Phổ thông (🟢+🟡)",'📋 Thông Tin'!$D$10="Nâng cao (🟢+🟡+⚪)")),AND(C41="⚪ Tùy chọn",'📋 Thông Tin'!$D$10="Nâng cao (🟢+🟡+⚪)"))),"✓ Có","✗ Không")</f>
        <v>✗ Không</v>
      </c>
      <c r="E41" s="18">
        <f>IF(D41="✓ Có",VLOOKUP(B41,'Hệ Số'!B:C,2,FALSE),0)</f>
        <v>0</v>
      </c>
      <c r="F41" s="12" t="s">
        <v>3</v>
      </c>
    </row>
    <row r="42" spans="1:6" ht="24" customHeight="1" x14ac:dyDescent="0.25">
      <c r="A42" s="5">
        <v>33</v>
      </c>
      <c r="B42" s="6" t="s">
        <v>162</v>
      </c>
      <c r="C42" s="20" t="s">
        <v>206</v>
      </c>
      <c r="D42" s="7" t="str">
        <f>IF(AND('📋 Thông Tin'!$B$10="Web Doanh Nghiệp",OR(C42="🟢 Bắt buộc",AND(C42="🟡 Nên có",OR('📋 Thông Tin'!$D$10="Phổ thông (🟢+🟡)",'📋 Thông Tin'!$D$10="Nâng cao (🟢+🟡+⚪)")),AND(C42="⚪ Tùy chọn",'📋 Thông Tin'!$D$10="Nâng cao (🟢+🟡+⚪)"))),"✓ Có","✗ Không")</f>
        <v>✗ Không</v>
      </c>
      <c r="E42" s="16">
        <f>IF(D42="✓ Có",VLOOKUP(B42,'Hệ Số'!B:C,2,FALSE),0)</f>
        <v>0</v>
      </c>
      <c r="F42" s="8" t="s">
        <v>163</v>
      </c>
    </row>
    <row r="43" spans="1:6" ht="26.1" customHeight="1" x14ac:dyDescent="0.25">
      <c r="A43" s="39" t="s">
        <v>164</v>
      </c>
      <c r="B43" s="39"/>
      <c r="C43" s="39"/>
      <c r="D43" s="39"/>
      <c r="E43" s="39"/>
      <c r="F43" s="39"/>
    </row>
    <row r="44" spans="1:6" ht="24" customHeight="1" x14ac:dyDescent="0.25">
      <c r="A44" s="9">
        <v>34</v>
      </c>
      <c r="B44" s="10" t="s">
        <v>165</v>
      </c>
      <c r="C44" s="15" t="s">
        <v>205</v>
      </c>
      <c r="D44" s="11" t="str">
        <f>IF(AND('📋 Thông Tin'!$B$10="Web Doanh Nghiệp",OR(C44="🟢 Bắt buộc",AND(C44="🟡 Nên có",OR('📋 Thông Tin'!$D$10="Phổ thông (🟢+🟡)",'📋 Thông Tin'!$D$10="Nâng cao (🟢+🟡+⚪)")),AND(C44="⚪ Tùy chọn",'📋 Thông Tin'!$D$10="Nâng cao (🟢+🟡+⚪)"))),"✓ Có","✗ Không")</f>
        <v>✗ Không</v>
      </c>
      <c r="E44" s="18">
        <f>IF(D44="✓ Có",VLOOKUP(B44,'Hệ Số'!B:C,2,FALSE),0)</f>
        <v>0</v>
      </c>
      <c r="F44" s="12" t="s">
        <v>3</v>
      </c>
    </row>
    <row r="45" spans="1:6" ht="24" customHeight="1" x14ac:dyDescent="0.25">
      <c r="A45" s="5">
        <v>35</v>
      </c>
      <c r="B45" s="6" t="s">
        <v>166</v>
      </c>
      <c r="C45" s="15" t="s">
        <v>205</v>
      </c>
      <c r="D45" s="7" t="str">
        <f>IF(AND('📋 Thông Tin'!$B$10="Web Doanh Nghiệp",OR(C45="🟢 Bắt buộc",AND(C45="🟡 Nên có",OR('📋 Thông Tin'!$D$10="Phổ thông (🟢+🟡)",'📋 Thông Tin'!$D$10="Nâng cao (🟢+🟡+⚪)")),AND(C45="⚪ Tùy chọn",'📋 Thông Tin'!$D$10="Nâng cao (🟢+🟡+⚪)"))),"✓ Có","✗ Không")</f>
        <v>✗ Không</v>
      </c>
      <c r="E45" s="16">
        <f>IF(D45="✓ Có",VLOOKUP(B45,'Hệ Số'!B:C,2,FALSE),0)</f>
        <v>0</v>
      </c>
      <c r="F45" s="8" t="s">
        <v>3</v>
      </c>
    </row>
    <row r="46" spans="1:6" ht="24" customHeight="1" x14ac:dyDescent="0.25">
      <c r="A46" s="9">
        <v>36</v>
      </c>
      <c r="B46" s="10" t="s">
        <v>167</v>
      </c>
      <c r="C46" s="19" t="s">
        <v>207</v>
      </c>
      <c r="D46" s="11" t="str">
        <f>IF(AND('📋 Thông Tin'!$B$10="Web Doanh Nghiệp",OR(C46="🟢 Bắt buộc",AND(C46="🟡 Nên có",OR('📋 Thông Tin'!$D$10="Phổ thông (🟢+🟡)",'📋 Thông Tin'!$D$10="Nâng cao (🟢+🟡+⚪)")),AND(C46="⚪ Tùy chọn",'📋 Thông Tin'!$D$10="Nâng cao (🟢+🟡+⚪)"))),"✓ Có","✗ Không")</f>
        <v>✗ Không</v>
      </c>
      <c r="E46" s="18">
        <f>IF(D46="✓ Có",VLOOKUP(B46,'Hệ Số'!B:C,2,FALSE),0)</f>
        <v>0</v>
      </c>
      <c r="F46" s="12" t="s">
        <v>168</v>
      </c>
    </row>
    <row r="47" spans="1:6" ht="24" customHeight="1" x14ac:dyDescent="0.25">
      <c r="A47" s="5">
        <v>37</v>
      </c>
      <c r="B47" s="6" t="s">
        <v>169</v>
      </c>
      <c r="C47" s="19" t="s">
        <v>207</v>
      </c>
      <c r="D47" s="7" t="str">
        <f>IF(AND('📋 Thông Tin'!$B$10="Web Doanh Nghiệp",OR(C47="🟢 Bắt buộc",AND(C47="🟡 Nên có",OR('📋 Thông Tin'!$D$10="Phổ thông (🟢+🟡)",'📋 Thông Tin'!$D$10="Nâng cao (🟢+🟡+⚪)")),AND(C47="⚪ Tùy chọn",'📋 Thông Tin'!$D$10="Nâng cao (🟢+🟡+⚪)"))),"✓ Có","✗ Không")</f>
        <v>✗ Không</v>
      </c>
      <c r="E47" s="16">
        <f>IF(D47="✓ Có",VLOOKUP(B47,'Hệ Số'!B:C,2,FALSE),0)</f>
        <v>0</v>
      </c>
      <c r="F47" s="8" t="s">
        <v>3</v>
      </c>
    </row>
    <row r="48" spans="1:6" ht="24" customHeight="1" x14ac:dyDescent="0.25">
      <c r="A48" s="9">
        <v>38</v>
      </c>
      <c r="B48" s="10" t="s">
        <v>170</v>
      </c>
      <c r="C48" s="19" t="s">
        <v>207</v>
      </c>
      <c r="D48" s="11" t="str">
        <f>IF(AND('📋 Thông Tin'!$B$10="Web Doanh Nghiệp",OR(C48="🟢 Bắt buộc",AND(C48="🟡 Nên có",OR('📋 Thông Tin'!$D$10="Phổ thông (🟢+🟡)",'📋 Thông Tin'!$D$10="Nâng cao (🟢+🟡+⚪)")),AND(C48="⚪ Tùy chọn",'📋 Thông Tin'!$D$10="Nâng cao (🟢+🟡+⚪)"))),"✓ Có","✗ Không")</f>
        <v>✗ Không</v>
      </c>
      <c r="E48" s="18">
        <f>IF(D48="✓ Có",VLOOKUP(B48,'Hệ Số'!B:C,2,FALSE),0)</f>
        <v>0</v>
      </c>
      <c r="F48" s="12" t="s">
        <v>3</v>
      </c>
    </row>
    <row r="49" spans="1:6" ht="24" customHeight="1" x14ac:dyDescent="0.25">
      <c r="A49" s="5">
        <v>39</v>
      </c>
      <c r="B49" s="6" t="s">
        <v>171</v>
      </c>
      <c r="C49" s="20" t="s">
        <v>206</v>
      </c>
      <c r="D49" s="7" t="str">
        <f>IF(AND('📋 Thông Tin'!$B$10="Web Doanh Nghiệp",OR(C49="🟢 Bắt buộc",AND(C49="🟡 Nên có",OR('📋 Thông Tin'!$D$10="Phổ thông (🟢+🟡)",'📋 Thông Tin'!$D$10="Nâng cao (🟢+🟡+⚪)")),AND(C49="⚪ Tùy chọn",'📋 Thông Tin'!$D$10="Nâng cao (🟢+🟡+⚪)"))),"✓ Có","✗ Không")</f>
        <v>✗ Không</v>
      </c>
      <c r="E49" s="16">
        <f>IF(D49="✓ Có",VLOOKUP(B49,'Hệ Số'!B:C,2,FALSE),0)</f>
        <v>0</v>
      </c>
      <c r="F49" s="8" t="s">
        <v>3</v>
      </c>
    </row>
    <row r="50" spans="1:6" ht="24" customHeight="1" x14ac:dyDescent="0.25">
      <c r="A50" s="9">
        <v>40</v>
      </c>
      <c r="B50" s="10" t="s">
        <v>172</v>
      </c>
      <c r="C50" s="15" t="s">
        <v>205</v>
      </c>
      <c r="D50" s="11" t="str">
        <f>IF(AND('📋 Thông Tin'!$B$10="Web Doanh Nghiệp",OR(C50="🟢 Bắt buộc",AND(C50="🟡 Nên có",OR('📋 Thông Tin'!$D$10="Phổ thông (🟢+🟡)",'📋 Thông Tin'!$D$10="Nâng cao (🟢+🟡+⚪)")),AND(C50="⚪ Tùy chọn",'📋 Thông Tin'!$D$10="Nâng cao (🟢+🟡+⚪)"))),"✓ Có","✗ Không")</f>
        <v>✗ Không</v>
      </c>
      <c r="E50" s="18">
        <f>IF(D50="✓ Có",VLOOKUP(B50,'Hệ Số'!B:C,2,FALSE),0)</f>
        <v>0</v>
      </c>
      <c r="F50" s="12" t="s">
        <v>173</v>
      </c>
    </row>
    <row r="51" spans="1:6" ht="24" customHeight="1" x14ac:dyDescent="0.25">
      <c r="A51" s="5">
        <v>41</v>
      </c>
      <c r="B51" s="6" t="s">
        <v>174</v>
      </c>
      <c r="C51" s="20" t="s">
        <v>206</v>
      </c>
      <c r="D51" s="7" t="str">
        <f>IF(AND('📋 Thông Tin'!$B$10="Web Doanh Nghiệp",OR(C51="🟢 Bắt buộc",AND(C51="🟡 Nên có",OR('📋 Thông Tin'!$D$10="Phổ thông (🟢+🟡)",'📋 Thông Tin'!$D$10="Nâng cao (🟢+🟡+⚪)")),AND(C51="⚪ Tùy chọn",'📋 Thông Tin'!$D$10="Nâng cao (🟢+🟡+⚪)"))),"✓ Có","✗ Không")</f>
        <v>✗ Không</v>
      </c>
      <c r="E51" s="16">
        <f>IF(D51="✓ Có",VLOOKUP(B51,'Hệ Số'!B:C,2,FALSE),0)</f>
        <v>0</v>
      </c>
      <c r="F51" s="8" t="s">
        <v>3</v>
      </c>
    </row>
    <row r="52" spans="1:6" ht="24" customHeight="1" x14ac:dyDescent="0.25">
      <c r="A52" s="9">
        <v>42</v>
      </c>
      <c r="B52" s="10" t="s">
        <v>175</v>
      </c>
      <c r="C52" s="17" t="s">
        <v>206</v>
      </c>
      <c r="D52" s="11" t="str">
        <f>IF(AND('📋 Thông Tin'!$B$10="Web Doanh Nghiệp",OR(C52="🟢 Bắt buộc",AND(C52="🟡 Nên có",OR('📋 Thông Tin'!$D$10="Phổ thông (🟢+🟡)",'📋 Thông Tin'!$D$10="Nâng cao (🟢+🟡+⚪)")),AND(C52="⚪ Tùy chọn",'📋 Thông Tin'!$D$10="Nâng cao (🟢+🟡+⚪)"))),"✓ Có","✗ Không")</f>
        <v>✗ Không</v>
      </c>
      <c r="E52" s="18">
        <f>IF(D52="✓ Có",VLOOKUP(B52,'Hệ Số'!B:C,2,FALSE),0)</f>
        <v>0</v>
      </c>
      <c r="F52" s="12" t="s">
        <v>176</v>
      </c>
    </row>
    <row r="53" spans="1:6" ht="24" customHeight="1" x14ac:dyDescent="0.25">
      <c r="A53" s="5">
        <v>43</v>
      </c>
      <c r="B53" s="6" t="s">
        <v>177</v>
      </c>
      <c r="C53" s="19" t="s">
        <v>207</v>
      </c>
      <c r="D53" s="7" t="str">
        <f>IF(AND('📋 Thông Tin'!$B$10="Web Doanh Nghiệp",OR(C53="🟢 Bắt buộc",AND(C53="🟡 Nên có",OR('📋 Thông Tin'!$D$10="Phổ thông (🟢+🟡)",'📋 Thông Tin'!$D$10="Nâng cao (🟢+🟡+⚪)")),AND(C53="⚪ Tùy chọn",'📋 Thông Tin'!$D$10="Nâng cao (🟢+🟡+⚪)"))),"✓ Có","✗ Không")</f>
        <v>✗ Không</v>
      </c>
      <c r="E53" s="16">
        <f>IF(D53="✓ Có",VLOOKUP(B53,'Hệ Số'!B:C,2,FALSE),0)</f>
        <v>0</v>
      </c>
      <c r="F53" s="8" t="s">
        <v>178</v>
      </c>
    </row>
    <row r="54" spans="1:6" ht="24" customHeight="1" x14ac:dyDescent="0.25">
      <c r="A54" s="9">
        <v>44</v>
      </c>
      <c r="B54" s="10" t="s">
        <v>179</v>
      </c>
      <c r="C54" s="19" t="s">
        <v>207</v>
      </c>
      <c r="D54" s="11" t="str">
        <f>IF(AND('📋 Thông Tin'!$B$10="Web Doanh Nghiệp",OR(C54="🟢 Bắt buộc",AND(C54="🟡 Nên có",OR('📋 Thông Tin'!$D$10="Phổ thông (🟢+🟡)",'📋 Thông Tin'!$D$10="Nâng cao (🟢+🟡+⚪)")),AND(C54="⚪ Tùy chọn",'📋 Thông Tin'!$D$10="Nâng cao (🟢+🟡+⚪)"))),"✓ Có","✗ Không")</f>
        <v>✗ Không</v>
      </c>
      <c r="E54" s="18">
        <f>IF(D54="✓ Có",VLOOKUP(B54,'Hệ Số'!B:C,2,FALSE),0)</f>
        <v>0</v>
      </c>
      <c r="F54" s="12" t="s">
        <v>3</v>
      </c>
    </row>
    <row r="55" spans="1:6" ht="26.1" customHeight="1" x14ac:dyDescent="0.25">
      <c r="A55" s="39" t="s">
        <v>180</v>
      </c>
      <c r="B55" s="39"/>
      <c r="C55" s="39"/>
      <c r="D55" s="39"/>
      <c r="E55" s="39"/>
      <c r="F55" s="39"/>
    </row>
    <row r="56" spans="1:6" ht="24" customHeight="1" x14ac:dyDescent="0.25">
      <c r="A56" s="5">
        <v>45</v>
      </c>
      <c r="B56" s="6" t="s">
        <v>181</v>
      </c>
      <c r="C56" s="20" t="s">
        <v>206</v>
      </c>
      <c r="D56" s="7" t="str">
        <f>IF(AND('📋 Thông Tin'!$B$10="Web Doanh Nghiệp",OR(C56="🟢 Bắt buộc",AND(C56="🟡 Nên có",OR('📋 Thông Tin'!$D$10="Phổ thông (🟢+🟡)",'📋 Thông Tin'!$D$10="Nâng cao (🟢+🟡+⚪)")),AND(C56="⚪ Tùy chọn",'📋 Thông Tin'!$D$10="Nâng cao (🟢+🟡+⚪)"))),"✓ Có","✗ Không")</f>
        <v>✗ Không</v>
      </c>
      <c r="E56" s="16">
        <f>IF(D56="✓ Có",VLOOKUP(B56,'Hệ Số'!B:C,2,FALSE),0)</f>
        <v>0</v>
      </c>
      <c r="F56" s="8" t="s">
        <v>182</v>
      </c>
    </row>
    <row r="57" spans="1:6" ht="24" customHeight="1" x14ac:dyDescent="0.25">
      <c r="A57" s="9">
        <v>46</v>
      </c>
      <c r="B57" s="10" t="s">
        <v>183</v>
      </c>
      <c r="C57" s="17" t="s">
        <v>206</v>
      </c>
      <c r="D57" s="11" t="str">
        <f>IF(AND('📋 Thông Tin'!$B$10="Web Doanh Nghiệp",OR(C57="🟢 Bắt buộc",AND(C57="🟡 Nên có",OR('📋 Thông Tin'!$D$10="Phổ thông (🟢+🟡)",'📋 Thông Tin'!$D$10="Nâng cao (🟢+🟡+⚪)")),AND(C57="⚪ Tùy chọn",'📋 Thông Tin'!$D$10="Nâng cao (🟢+🟡+⚪)"))),"✓ Có","✗ Không")</f>
        <v>✗ Không</v>
      </c>
      <c r="E57" s="18">
        <f>IF(D57="✓ Có",VLOOKUP(B57,'Hệ Số'!B:C,2,FALSE),0)</f>
        <v>0</v>
      </c>
      <c r="F57" s="12" t="s">
        <v>3</v>
      </c>
    </row>
    <row r="58" spans="1:6" ht="24" customHeight="1" x14ac:dyDescent="0.25">
      <c r="A58" s="5">
        <v>47</v>
      </c>
      <c r="B58" s="6" t="s">
        <v>184</v>
      </c>
      <c r="C58" s="20" t="s">
        <v>206</v>
      </c>
      <c r="D58" s="7" t="str">
        <f>IF(AND('📋 Thông Tin'!$B$10="Web Doanh Nghiệp",OR(C58="🟢 Bắt buộc",AND(C58="🟡 Nên có",OR('📋 Thông Tin'!$D$10="Phổ thông (🟢+🟡)",'📋 Thông Tin'!$D$10="Nâng cao (🟢+🟡+⚪)")),AND(C58="⚪ Tùy chọn",'📋 Thông Tin'!$D$10="Nâng cao (🟢+🟡+⚪)"))),"✓ Có","✗ Không")</f>
        <v>✗ Không</v>
      </c>
      <c r="E58" s="16">
        <f>IF(D58="✓ Có",VLOOKUP(B58,'Hệ Số'!B:C,2,FALSE),0)</f>
        <v>0</v>
      </c>
      <c r="F58" s="8" t="s">
        <v>185</v>
      </c>
    </row>
    <row r="59" spans="1:6" ht="24" customHeight="1" x14ac:dyDescent="0.25">
      <c r="A59" s="9">
        <v>48</v>
      </c>
      <c r="B59" s="10" t="s">
        <v>186</v>
      </c>
      <c r="C59" s="17" t="s">
        <v>206</v>
      </c>
      <c r="D59" s="11" t="str">
        <f>IF(AND('📋 Thông Tin'!$B$10="Web Doanh Nghiệp",OR(C59="🟢 Bắt buộc",AND(C59="🟡 Nên có",OR('📋 Thông Tin'!$D$10="Phổ thông (🟢+🟡)",'📋 Thông Tin'!$D$10="Nâng cao (🟢+🟡+⚪)")),AND(C59="⚪ Tùy chọn",'📋 Thông Tin'!$D$10="Nâng cao (🟢+🟡+⚪)"))),"✓ Có","✗ Không")</f>
        <v>✗ Không</v>
      </c>
      <c r="E59" s="18">
        <f>IF(D59="✓ Có",VLOOKUP(B59,'Hệ Số'!B:C,2,FALSE),0)</f>
        <v>0</v>
      </c>
      <c r="F59" s="12" t="s">
        <v>187</v>
      </c>
    </row>
    <row r="60" spans="1:6" ht="24" customHeight="1" x14ac:dyDescent="0.25">
      <c r="A60" s="5">
        <v>49</v>
      </c>
      <c r="B60" s="6" t="s">
        <v>188</v>
      </c>
      <c r="C60" s="20" t="s">
        <v>206</v>
      </c>
      <c r="D60" s="7" t="str">
        <f>IF(AND('📋 Thông Tin'!$B$10="Web Doanh Nghiệp",OR(C60="🟢 Bắt buộc",AND(C60="🟡 Nên có",OR('📋 Thông Tin'!$D$10="Phổ thông (🟢+🟡)",'📋 Thông Tin'!$D$10="Nâng cao (🟢+🟡+⚪)")),AND(C60="⚪ Tùy chọn",'📋 Thông Tin'!$D$10="Nâng cao (🟢+🟡+⚪)"))),"✓ Có","✗ Không")</f>
        <v>✗ Không</v>
      </c>
      <c r="E60" s="16">
        <f>IF(D60="✓ Có",VLOOKUP(B60,'Hệ Số'!B:C,2,FALSE),0)</f>
        <v>0</v>
      </c>
      <c r="F60" s="8" t="s">
        <v>189</v>
      </c>
    </row>
    <row r="61" spans="1:6" ht="24" customHeight="1" x14ac:dyDescent="0.25">
      <c r="A61" s="9">
        <v>50</v>
      </c>
      <c r="B61" s="10" t="s">
        <v>190</v>
      </c>
      <c r="C61" s="17" t="s">
        <v>206</v>
      </c>
      <c r="D61" s="11" t="str">
        <f>IF(AND('📋 Thông Tin'!$B$10="Web Doanh Nghiệp",OR(C61="🟢 Bắt buộc",AND(C61="🟡 Nên có",OR('📋 Thông Tin'!$D$10="Phổ thông (🟢+🟡)",'📋 Thông Tin'!$D$10="Nâng cao (🟢+🟡+⚪)")),AND(C61="⚪ Tùy chọn",'📋 Thông Tin'!$D$10="Nâng cao (🟢+🟡+⚪)"))),"✓ Có","✗ Không")</f>
        <v>✗ Không</v>
      </c>
      <c r="E61" s="18">
        <f>IF(D61="✓ Có",VLOOKUP(B61,'Hệ Số'!B:C,2,FALSE),0)</f>
        <v>0</v>
      </c>
      <c r="F61" s="12" t="s">
        <v>3</v>
      </c>
    </row>
    <row r="62" spans="1:6" ht="24" customHeight="1" x14ac:dyDescent="0.25">
      <c r="A62" s="5">
        <v>51</v>
      </c>
      <c r="B62" s="6" t="s">
        <v>191</v>
      </c>
      <c r="C62" s="20" t="s">
        <v>206</v>
      </c>
      <c r="D62" s="7" t="str">
        <f>IF(AND('📋 Thông Tin'!$B$10="Web Doanh Nghiệp",OR(C62="🟢 Bắt buộc",AND(C62="🟡 Nên có",OR('📋 Thông Tin'!$D$10="Phổ thông (🟢+🟡)",'📋 Thông Tin'!$D$10="Nâng cao (🟢+🟡+⚪)")),AND(C62="⚪ Tùy chọn",'📋 Thông Tin'!$D$10="Nâng cao (🟢+🟡+⚪)"))),"✓ Có","✗ Không")</f>
        <v>✗ Không</v>
      </c>
      <c r="E62" s="16">
        <f>IF(D62="✓ Có",VLOOKUP(B62,'Hệ Số'!B:C,2,FALSE),0)</f>
        <v>0</v>
      </c>
      <c r="F62" s="8" t="s">
        <v>192</v>
      </c>
    </row>
    <row r="63" spans="1:6" ht="24" customHeight="1" x14ac:dyDescent="0.25">
      <c r="A63" s="9">
        <v>52</v>
      </c>
      <c r="B63" s="10" t="s">
        <v>193</v>
      </c>
      <c r="C63" s="17" t="s">
        <v>206</v>
      </c>
      <c r="D63" s="11" t="str">
        <f>IF(AND('📋 Thông Tin'!$B$10="Web Doanh Nghiệp",OR(C63="🟢 Bắt buộc",AND(C63="🟡 Nên có",OR('📋 Thông Tin'!$D$10="Phổ thông (🟢+🟡)",'📋 Thông Tin'!$D$10="Nâng cao (🟢+🟡+⚪)")),AND(C63="⚪ Tùy chọn",'📋 Thông Tin'!$D$10="Nâng cao (🟢+🟡+⚪)"))),"✓ Có","✗ Không")</f>
        <v>✗ Không</v>
      </c>
      <c r="E63" s="18">
        <f>IF(D63="✓ Có",VLOOKUP(B63,'Hệ Số'!B:C,2,FALSE),0)</f>
        <v>0</v>
      </c>
      <c r="F63" s="12" t="s">
        <v>3</v>
      </c>
    </row>
    <row r="64" spans="1:6" ht="24" customHeight="1" x14ac:dyDescent="0.25">
      <c r="A64" s="5">
        <v>53</v>
      </c>
      <c r="B64" s="6" t="s">
        <v>194</v>
      </c>
      <c r="C64" s="20" t="s">
        <v>206</v>
      </c>
      <c r="D64" s="7" t="str">
        <f>IF(AND('📋 Thông Tin'!$B$10="Web Doanh Nghiệp",OR(C64="🟢 Bắt buộc",AND(C64="🟡 Nên có",OR('📋 Thông Tin'!$D$10="Phổ thông (🟢+🟡)",'📋 Thông Tin'!$D$10="Nâng cao (🟢+🟡+⚪)")),AND(C64="⚪ Tùy chọn",'📋 Thông Tin'!$D$10="Nâng cao (🟢+🟡+⚪)"))),"✓ Có","✗ Không")</f>
        <v>✗ Không</v>
      </c>
      <c r="E64" s="16">
        <f>IF(D64="✓ Có",VLOOKUP(B64,'Hệ Số'!B:C,2,FALSE),0)</f>
        <v>0</v>
      </c>
      <c r="F64" s="8" t="s">
        <v>3</v>
      </c>
    </row>
    <row r="65" spans="1:6" ht="24" customHeight="1" x14ac:dyDescent="0.25">
      <c r="A65" s="9">
        <v>54</v>
      </c>
      <c r="B65" s="10" t="s">
        <v>195</v>
      </c>
      <c r="C65" s="17" t="s">
        <v>206</v>
      </c>
      <c r="D65" s="11" t="str">
        <f>IF(AND('📋 Thông Tin'!$B$10="Web Doanh Nghiệp",OR(C65="🟢 Bắt buộc",AND(C65="🟡 Nên có",OR('📋 Thông Tin'!$D$10="Phổ thông (🟢+🟡)",'📋 Thông Tin'!$D$10="Nâng cao (🟢+🟡+⚪)")),AND(C65="⚪ Tùy chọn",'📋 Thông Tin'!$D$10="Nâng cao (🟢+🟡+⚪)"))),"✓ Có","✗ Không")</f>
        <v>✗ Không</v>
      </c>
      <c r="E65" s="18">
        <f>IF(D65="✓ Có",VLOOKUP(B65,'Hệ Số'!B:C,2,FALSE),0)</f>
        <v>0</v>
      </c>
      <c r="F65" s="12" t="s">
        <v>3</v>
      </c>
    </row>
    <row r="66" spans="1:6" ht="26.1" customHeight="1" x14ac:dyDescent="0.25">
      <c r="A66" s="39" t="s">
        <v>196</v>
      </c>
      <c r="B66" s="39"/>
      <c r="C66" s="39"/>
      <c r="D66" s="39"/>
      <c r="E66" s="39"/>
      <c r="F66" s="39"/>
    </row>
    <row r="67" spans="1:6" ht="24" customHeight="1" x14ac:dyDescent="0.25">
      <c r="A67" s="5">
        <v>55</v>
      </c>
      <c r="B67" s="6" t="s">
        <v>197</v>
      </c>
      <c r="C67" s="20" t="s">
        <v>206</v>
      </c>
      <c r="D67" s="7" t="str">
        <f>IF(AND('📋 Thông Tin'!$B$10="Web Doanh Nghiệp",OR(C67="🟢 Bắt buộc",AND(C67="🟡 Nên có",OR('📋 Thông Tin'!$D$10="Phổ thông (🟢+🟡)",'📋 Thông Tin'!$D$10="Nâng cao (🟢+🟡+⚪)")),AND(C67="⚪ Tùy chọn",'📋 Thông Tin'!$D$10="Nâng cao (🟢+🟡+⚪)"))),"✓ Có","✗ Không")</f>
        <v>✗ Không</v>
      </c>
      <c r="E67" s="16">
        <f>IF(D67="✓ Có",VLOOKUP(B67,'Hệ Số'!B:C,2,FALSE),0)</f>
        <v>0</v>
      </c>
      <c r="F67" s="8" t="s">
        <v>198</v>
      </c>
    </row>
    <row r="68" spans="1:6" ht="24" customHeight="1" x14ac:dyDescent="0.25">
      <c r="A68" s="9">
        <v>56</v>
      </c>
      <c r="B68" s="10" t="s">
        <v>199</v>
      </c>
      <c r="C68" s="17" t="s">
        <v>206</v>
      </c>
      <c r="D68" s="11" t="str">
        <f>IF(AND('📋 Thông Tin'!$B$10="Web Doanh Nghiệp",OR(C68="🟢 Bắt buộc",AND(C68="🟡 Nên có",OR('📋 Thông Tin'!$D$10="Phổ thông (🟢+🟡)",'📋 Thông Tin'!$D$10="Nâng cao (🟢+🟡+⚪)")),AND(C68="⚪ Tùy chọn",'📋 Thông Tin'!$D$10="Nâng cao (🟢+🟡+⚪)"))),"✓ Có","✗ Không")</f>
        <v>✗ Không</v>
      </c>
      <c r="E68" s="18">
        <f>IF(D68="✓ Có",VLOOKUP(B68,'Hệ Số'!B:C,2,FALSE),0)</f>
        <v>0</v>
      </c>
      <c r="F68" s="12" t="s">
        <v>3</v>
      </c>
    </row>
    <row r="69" spans="1:6" ht="24" customHeight="1" x14ac:dyDescent="0.25">
      <c r="A69" s="5">
        <v>57</v>
      </c>
      <c r="B69" s="6" t="s">
        <v>200</v>
      </c>
      <c r="C69" s="20" t="s">
        <v>206</v>
      </c>
      <c r="D69" s="7" t="str">
        <f>IF(AND('📋 Thông Tin'!$B$10="Web Doanh Nghiệp",OR(C69="🟢 Bắt buộc",AND(C69="🟡 Nên có",OR('📋 Thông Tin'!$D$10="Phổ thông (🟢+🟡)",'📋 Thông Tin'!$D$10="Nâng cao (🟢+🟡+⚪)")),AND(C69="⚪ Tùy chọn",'📋 Thông Tin'!$D$10="Nâng cao (🟢+🟡+⚪)"))),"✓ Có","✗ Không")</f>
        <v>✗ Không</v>
      </c>
      <c r="E69" s="16">
        <f>IF(D69="✓ Có",VLOOKUP(B69,'Hệ Số'!B:C,2,FALSE),0)</f>
        <v>0</v>
      </c>
      <c r="F69" s="8" t="s">
        <v>3</v>
      </c>
    </row>
    <row r="70" spans="1:6" ht="24" customHeight="1" x14ac:dyDescent="0.25">
      <c r="A70" s="9">
        <v>58</v>
      </c>
      <c r="B70" s="10" t="s">
        <v>201</v>
      </c>
      <c r="C70" s="17" t="s">
        <v>206</v>
      </c>
      <c r="D70" s="11" t="str">
        <f>IF(AND('📋 Thông Tin'!$B$10="Web Doanh Nghiệp",OR(C70="🟢 Bắt buộc",AND(C70="🟡 Nên có",OR('📋 Thông Tin'!$D$10="Phổ thông (🟢+🟡)",'📋 Thông Tin'!$D$10="Nâng cao (🟢+🟡+⚪)")),AND(C70="⚪ Tùy chọn",'📋 Thông Tin'!$D$10="Nâng cao (🟢+🟡+⚪)"))),"✓ Có","✗ Không")</f>
        <v>✗ Không</v>
      </c>
      <c r="E70" s="18">
        <f>IF(D70="✓ Có",VLOOKUP(B70,'Hệ Số'!B:C,2,FALSE),0)</f>
        <v>0</v>
      </c>
      <c r="F70" s="12" t="s">
        <v>3</v>
      </c>
    </row>
    <row r="73" spans="1:6" ht="32.1" customHeight="1" x14ac:dyDescent="0.25">
      <c r="A73" s="35" t="s">
        <v>208</v>
      </c>
      <c r="B73" s="35"/>
      <c r="C73" s="35"/>
      <c r="D73" s="35"/>
      <c r="E73" s="35"/>
      <c r="F73" s="35"/>
    </row>
    <row r="74" spans="1:6" ht="30" customHeight="1" x14ac:dyDescent="0.25">
      <c r="A74" s="46" t="s">
        <v>209</v>
      </c>
      <c r="B74" s="46"/>
      <c r="C74" s="21"/>
      <c r="D74" s="21"/>
      <c r="E74" s="47">
        <f>SUM(E5:E70)</f>
        <v>0</v>
      </c>
      <c r="F74" s="47"/>
    </row>
    <row r="75" spans="1:6" ht="30" customHeight="1" x14ac:dyDescent="0.25">
      <c r="A75" s="46" t="s">
        <v>210</v>
      </c>
      <c r="B75" s="46"/>
      <c r="C75" s="21"/>
      <c r="D75" s="21"/>
      <c r="E75" s="47">
        <f>E74*1.5</f>
        <v>0</v>
      </c>
      <c r="F75" s="47"/>
    </row>
    <row r="76" spans="1:6" ht="30" customHeight="1" x14ac:dyDescent="0.25">
      <c r="A76" s="46" t="s">
        <v>257</v>
      </c>
      <c r="B76" s="46"/>
      <c r="C76" s="21"/>
      <c r="D76" s="21"/>
      <c r="E76" s="47">
        <f>CEILING(E75/8,1)</f>
        <v>0</v>
      </c>
      <c r="F76" s="47"/>
    </row>
    <row r="77" spans="1:6" ht="30" customHeight="1" x14ac:dyDescent="0.25">
      <c r="A77" s="42" t="s">
        <v>212</v>
      </c>
      <c r="B77" s="42"/>
      <c r="C77" s="22"/>
      <c r="D77" s="22"/>
      <c r="E77" s="43">
        <f>E76*1000000</f>
        <v>0</v>
      </c>
      <c r="F77" s="43"/>
    </row>
    <row r="79" spans="1:6" ht="26.1" customHeight="1" x14ac:dyDescent="0.25">
      <c r="A79" s="44" t="s">
        <v>213</v>
      </c>
      <c r="B79" s="44"/>
      <c r="C79" s="23"/>
      <c r="D79" s="23"/>
      <c r="E79" s="45">
        <f>E77*0.4</f>
        <v>0</v>
      </c>
      <c r="F79" s="45"/>
    </row>
    <row r="80" spans="1:6" ht="26.1" customHeight="1" x14ac:dyDescent="0.25">
      <c r="A80" s="44" t="s">
        <v>214</v>
      </c>
      <c r="B80" s="44"/>
      <c r="C80" s="23"/>
      <c r="D80" s="23"/>
      <c r="E80" s="45">
        <f>E77*0.6</f>
        <v>0</v>
      </c>
      <c r="F80" s="45"/>
    </row>
    <row r="82" spans="1:6" ht="24" customHeight="1" x14ac:dyDescent="0.25">
      <c r="A82" s="41" t="s">
        <v>215</v>
      </c>
      <c r="B82" s="41"/>
      <c r="C82" s="41"/>
      <c r="D82" s="41"/>
      <c r="E82" s="41"/>
      <c r="F82" s="41"/>
    </row>
  </sheetData>
  <mergeCells count="24">
    <mergeCell ref="A1:F1"/>
    <mergeCell ref="A4:F4"/>
    <mergeCell ref="A14:F14"/>
    <mergeCell ref="A25:F25"/>
    <mergeCell ref="A27:F27"/>
    <mergeCell ref="A33:F33"/>
    <mergeCell ref="A37:F37"/>
    <mergeCell ref="A43:F43"/>
    <mergeCell ref="A55:F55"/>
    <mergeCell ref="A66:F66"/>
    <mergeCell ref="A73:F73"/>
    <mergeCell ref="A74:B74"/>
    <mergeCell ref="E74:F74"/>
    <mergeCell ref="A75:B75"/>
    <mergeCell ref="E75:F75"/>
    <mergeCell ref="A80:B80"/>
    <mergeCell ref="E80:F80"/>
    <mergeCell ref="A82:F82"/>
    <mergeCell ref="A76:B76"/>
    <mergeCell ref="E76:F76"/>
    <mergeCell ref="A77:B77"/>
    <mergeCell ref="E77:F77"/>
    <mergeCell ref="A79:B79"/>
    <mergeCell ref="E79:F79"/>
  </mergeCells>
  <pageMargins left="0.7" right="0.7" top="0.75" bottom="0.75" header="0.3" footer="0.3"/>
  <pageSetup paperSize="9" orientation="landscape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7DC6F"/>
    <pageSetUpPr fitToPage="1"/>
  </sheetPr>
  <dimension ref="A1:F85"/>
  <sheetViews>
    <sheetView topLeftCell="A40" workbookViewId="0">
      <selection sqref="A1:F1"/>
    </sheetView>
  </sheetViews>
  <sheetFormatPr defaultRowHeight="15" x14ac:dyDescent="0.25"/>
  <cols>
    <col min="1" max="1" width="5" customWidth="1"/>
    <col min="2" max="2" width="38" customWidth="1"/>
    <col min="3" max="3" width="14" customWidth="1"/>
    <col min="4" max="4" width="12" customWidth="1"/>
    <col min="5" max="5" width="10" customWidth="1"/>
    <col min="6" max="6" width="28" customWidth="1"/>
  </cols>
  <sheetData>
    <row r="1" spans="1:6" ht="36" customHeight="1" x14ac:dyDescent="0.25">
      <c r="A1" s="40" t="s">
        <v>218</v>
      </c>
      <c r="B1" s="40"/>
      <c r="C1" s="40"/>
      <c r="D1" s="40"/>
      <c r="E1" s="40"/>
      <c r="F1" s="40"/>
    </row>
    <row r="3" spans="1:6" ht="26.1" customHeight="1" x14ac:dyDescent="0.25">
      <c r="A3" s="4" t="s">
        <v>15</v>
      </c>
      <c r="B3" s="4" t="s">
        <v>88</v>
      </c>
      <c r="C3" s="4" t="s">
        <v>203</v>
      </c>
      <c r="D3" s="4" t="s">
        <v>204</v>
      </c>
      <c r="E3" s="4" t="s">
        <v>89</v>
      </c>
      <c r="F3" s="4" t="s">
        <v>90</v>
      </c>
    </row>
    <row r="4" spans="1:6" ht="26.1" customHeight="1" x14ac:dyDescent="0.25">
      <c r="A4" s="39" t="s">
        <v>91</v>
      </c>
      <c r="B4" s="39"/>
      <c r="C4" s="39"/>
      <c r="D4" s="39"/>
      <c r="E4" s="39"/>
      <c r="F4" s="39"/>
    </row>
    <row r="5" spans="1:6" ht="24" customHeight="1" x14ac:dyDescent="0.25">
      <c r="A5" s="5">
        <v>1</v>
      </c>
      <c r="B5" s="6" t="s">
        <v>92</v>
      </c>
      <c r="C5" s="15" t="s">
        <v>205</v>
      </c>
      <c r="D5" s="7" t="str">
        <f>IF(AND('📋 Thông Tin'!$B$10="E-commerce",OR(C5="🟢 Bắt buộc",AND(C5="🟡 Nên có",OR('📋 Thông Tin'!$D$10="Phổ thông (🟢+🟡)",'📋 Thông Tin'!$D$10="Nâng cao (🟢+🟡+⚪)")),AND(C5="⚪ Tùy chọn",'📋 Thông Tin'!$D$10="Nâng cao (🟢+🟡+⚪)"))),"✓ Có","✗ Không")</f>
        <v>✗ Không</v>
      </c>
      <c r="E5" s="16">
        <f>IF(D5="✓ Có",VLOOKUP(B5,'Hệ Số'!B:C,2,FALSE),0)</f>
        <v>0</v>
      </c>
      <c r="F5" s="8" t="s">
        <v>3</v>
      </c>
    </row>
    <row r="6" spans="1:6" ht="24" customHeight="1" x14ac:dyDescent="0.25">
      <c r="A6" s="9">
        <v>2</v>
      </c>
      <c r="B6" s="10" t="s">
        <v>93</v>
      </c>
      <c r="C6" s="19" t="s">
        <v>207</v>
      </c>
      <c r="D6" s="11" t="str">
        <f>IF(AND('📋 Thông Tin'!$B$10="E-commerce",OR(C6="🟢 Bắt buộc",AND(C6="🟡 Nên có",OR('📋 Thông Tin'!$D$10="Phổ thông (🟢+🟡)",'📋 Thông Tin'!$D$10="Nâng cao (🟢+🟡+⚪)")),AND(C6="⚪ Tùy chọn",'📋 Thông Tin'!$D$10="Nâng cao (🟢+🟡+⚪)"))),"✓ Có","✗ Không")</f>
        <v>✗ Không</v>
      </c>
      <c r="E6" s="18">
        <f>IF(D6="✓ Có",VLOOKUP(B6,'Hệ Số'!B:C,2,FALSE),0)</f>
        <v>0</v>
      </c>
      <c r="F6" s="12" t="s">
        <v>3</v>
      </c>
    </row>
    <row r="7" spans="1:6" ht="24" customHeight="1" x14ac:dyDescent="0.25">
      <c r="A7" s="5">
        <v>3</v>
      </c>
      <c r="B7" s="6" t="s">
        <v>94</v>
      </c>
      <c r="C7" s="19" t="s">
        <v>207</v>
      </c>
      <c r="D7" s="7" t="str">
        <f>IF(AND('📋 Thông Tin'!$B$10="E-commerce",OR(C7="🟢 Bắt buộc",AND(C7="🟡 Nên có",OR('📋 Thông Tin'!$D$10="Phổ thông (🟢+🟡)",'📋 Thông Tin'!$D$10="Nâng cao (🟢+🟡+⚪)")),AND(C7="⚪ Tùy chọn",'📋 Thông Tin'!$D$10="Nâng cao (🟢+🟡+⚪)"))),"✓ Có","✗ Không")</f>
        <v>✗ Không</v>
      </c>
      <c r="E7" s="16">
        <f>IF(D7="✓ Có",VLOOKUP(B7,'Hệ Số'!B:C,2,FALSE),0)</f>
        <v>0</v>
      </c>
      <c r="F7" s="8" t="s">
        <v>3</v>
      </c>
    </row>
    <row r="8" spans="1:6" ht="24" customHeight="1" x14ac:dyDescent="0.25">
      <c r="A8" s="9">
        <v>4</v>
      </c>
      <c r="B8" s="10" t="s">
        <v>95</v>
      </c>
      <c r="C8" s="15" t="s">
        <v>205</v>
      </c>
      <c r="D8" s="11" t="str">
        <f>IF(AND('📋 Thông Tin'!$B$10="E-commerce",OR(C8="🟢 Bắt buộc",AND(C8="🟡 Nên có",OR('📋 Thông Tin'!$D$10="Phổ thông (🟢+🟡)",'📋 Thông Tin'!$D$10="Nâng cao (🟢+🟡+⚪)")),AND(C8="⚪ Tùy chọn",'📋 Thông Tin'!$D$10="Nâng cao (🟢+🟡+⚪)"))),"✓ Có","✗ Không")</f>
        <v>✗ Không</v>
      </c>
      <c r="E8" s="18">
        <f>IF(D8="✓ Có",VLOOKUP(B8,'Hệ Số'!B:C,2,FALSE),0)</f>
        <v>0</v>
      </c>
      <c r="F8" s="12" t="s">
        <v>3</v>
      </c>
    </row>
    <row r="9" spans="1:6" ht="24" customHeight="1" x14ac:dyDescent="0.25">
      <c r="A9" s="5">
        <v>5</v>
      </c>
      <c r="B9" s="6" t="s">
        <v>96</v>
      </c>
      <c r="C9" s="15" t="s">
        <v>205</v>
      </c>
      <c r="D9" s="7" t="str">
        <f>IF(AND('📋 Thông Tin'!$B$10="E-commerce",OR(C9="🟢 Bắt buộc",AND(C9="🟡 Nên có",OR('📋 Thông Tin'!$D$10="Phổ thông (🟢+🟡)",'📋 Thông Tin'!$D$10="Nâng cao (🟢+🟡+⚪)")),AND(C9="⚪ Tùy chọn",'📋 Thông Tin'!$D$10="Nâng cao (🟢+🟡+⚪)"))),"✓ Có","✗ Không")</f>
        <v>✗ Không</v>
      </c>
      <c r="E9" s="16">
        <f>IF(D9="✓ Có",VLOOKUP(B9,'Hệ Số'!B:C,2,FALSE),0)</f>
        <v>0</v>
      </c>
      <c r="F9" s="8" t="s">
        <v>97</v>
      </c>
    </row>
    <row r="10" spans="1:6" ht="24" customHeight="1" x14ac:dyDescent="0.25">
      <c r="A10" s="9">
        <v>6</v>
      </c>
      <c r="B10" s="10" t="s">
        <v>98</v>
      </c>
      <c r="C10" s="19" t="s">
        <v>207</v>
      </c>
      <c r="D10" s="11" t="str">
        <f>IF(AND('📋 Thông Tin'!$B$10="E-commerce",OR(C10="🟢 Bắt buộc",AND(C10="🟡 Nên có",OR('📋 Thông Tin'!$D$10="Phổ thông (🟢+🟡)",'📋 Thông Tin'!$D$10="Nâng cao (🟢+🟡+⚪)")),AND(C10="⚪ Tùy chọn",'📋 Thông Tin'!$D$10="Nâng cao (🟢+🟡+⚪)"))),"✓ Có","✗ Không")</f>
        <v>✗ Không</v>
      </c>
      <c r="E10" s="18">
        <f>IF(D10="✓ Có",VLOOKUP(B10,'Hệ Số'!B:C,2,FALSE),0)</f>
        <v>0</v>
      </c>
      <c r="F10" s="12" t="s">
        <v>3</v>
      </c>
    </row>
    <row r="11" spans="1:6" ht="24" customHeight="1" x14ac:dyDescent="0.25">
      <c r="A11" s="5">
        <v>7</v>
      </c>
      <c r="B11" s="6" t="s">
        <v>99</v>
      </c>
      <c r="C11" s="19" t="s">
        <v>207</v>
      </c>
      <c r="D11" s="7" t="str">
        <f>IF(AND('📋 Thông Tin'!$B$10="E-commerce",OR(C11="🟢 Bắt buộc",AND(C11="🟡 Nên có",OR('📋 Thông Tin'!$D$10="Phổ thông (🟢+🟡)",'📋 Thông Tin'!$D$10="Nâng cao (🟢+🟡+⚪)")),AND(C11="⚪ Tùy chọn",'📋 Thông Tin'!$D$10="Nâng cao (🟢+🟡+⚪)"))),"✓ Có","✗ Không")</f>
        <v>✗ Không</v>
      </c>
      <c r="E11" s="16">
        <f>IF(D11="✓ Có",VLOOKUP(B11,'Hệ Số'!B:C,2,FALSE),0)</f>
        <v>0</v>
      </c>
      <c r="F11" s="8" t="s">
        <v>100</v>
      </c>
    </row>
    <row r="12" spans="1:6" ht="24" customHeight="1" x14ac:dyDescent="0.25">
      <c r="A12" s="9">
        <v>8</v>
      </c>
      <c r="B12" s="10" t="s">
        <v>101</v>
      </c>
      <c r="C12" s="17" t="s">
        <v>206</v>
      </c>
      <c r="D12" s="11" t="str">
        <f>IF(AND('📋 Thông Tin'!$B$10="E-commerce",OR(C12="🟢 Bắt buộc",AND(C12="🟡 Nên có",OR('📋 Thông Tin'!$D$10="Phổ thông (🟢+🟡)",'📋 Thông Tin'!$D$10="Nâng cao (🟢+🟡+⚪)")),AND(C12="⚪ Tùy chọn",'📋 Thông Tin'!$D$10="Nâng cao (🟢+🟡+⚪)"))),"✓ Có","✗ Không")</f>
        <v>✗ Không</v>
      </c>
      <c r="E12" s="18">
        <f>IF(D12="✓ Có",VLOOKUP(B12,'Hệ Số'!B:C,2,FALSE),0)</f>
        <v>0</v>
      </c>
      <c r="F12" s="12" t="s">
        <v>3</v>
      </c>
    </row>
    <row r="13" spans="1:6" ht="24" customHeight="1" x14ac:dyDescent="0.25">
      <c r="A13" s="5">
        <v>9</v>
      </c>
      <c r="B13" s="6" t="s">
        <v>102</v>
      </c>
      <c r="C13" s="19" t="s">
        <v>207</v>
      </c>
      <c r="D13" s="7" t="str">
        <f>IF(AND('📋 Thông Tin'!$B$10="E-commerce",OR(C13="🟢 Bắt buộc",AND(C13="🟡 Nên có",OR('📋 Thông Tin'!$D$10="Phổ thông (🟢+🟡)",'📋 Thông Tin'!$D$10="Nâng cao (🟢+🟡+⚪)")),AND(C13="⚪ Tùy chọn",'📋 Thông Tin'!$D$10="Nâng cao (🟢+🟡+⚪)"))),"✓ Có","✗ Không")</f>
        <v>✗ Không</v>
      </c>
      <c r="E13" s="16">
        <f>IF(D13="✓ Có",VLOOKUP(B13,'Hệ Số'!B:C,2,FALSE),0)</f>
        <v>0</v>
      </c>
      <c r="F13" s="8" t="s">
        <v>103</v>
      </c>
    </row>
    <row r="14" spans="1:6" ht="26.1" customHeight="1" x14ac:dyDescent="0.25">
      <c r="A14" s="39" t="s">
        <v>104</v>
      </c>
      <c r="B14" s="39"/>
      <c r="C14" s="39"/>
      <c r="D14" s="39"/>
      <c r="E14" s="39"/>
      <c r="F14" s="39"/>
    </row>
    <row r="15" spans="1:6" ht="24" customHeight="1" x14ac:dyDescent="0.25">
      <c r="A15" s="9">
        <v>10</v>
      </c>
      <c r="B15" s="10" t="s">
        <v>105</v>
      </c>
      <c r="C15" s="15" t="s">
        <v>205</v>
      </c>
      <c r="D15" s="11" t="str">
        <f>IF(AND('📋 Thông Tin'!$B$10="E-commerce",OR(C15="🟢 Bắt buộc",AND(C15="🟡 Nên có",OR('📋 Thông Tin'!$D$10="Phổ thông (🟢+🟡)",'📋 Thông Tin'!$D$10="Nâng cao (🟢+🟡+⚪)")),AND(C15="⚪ Tùy chọn",'📋 Thông Tin'!$D$10="Nâng cao (🟢+🟡+⚪)"))),"✓ Có","✗ Không")</f>
        <v>✗ Không</v>
      </c>
      <c r="E15" s="18">
        <f>IF(D15="✓ Có",VLOOKUP(B15,'Hệ Số'!B:C,2,FALSE),0)</f>
        <v>0</v>
      </c>
      <c r="F15" s="12" t="s">
        <v>106</v>
      </c>
    </row>
    <row r="16" spans="1:6" ht="24" customHeight="1" x14ac:dyDescent="0.25">
      <c r="A16" s="5">
        <v>11</v>
      </c>
      <c r="B16" s="6" t="s">
        <v>107</v>
      </c>
      <c r="C16" s="15" t="s">
        <v>205</v>
      </c>
      <c r="D16" s="7" t="str">
        <f>IF(AND('📋 Thông Tin'!$B$10="E-commerce",OR(C16="🟢 Bắt buộc",AND(C16="🟡 Nên có",OR('📋 Thông Tin'!$D$10="Phổ thông (🟢+🟡)",'📋 Thông Tin'!$D$10="Nâng cao (🟢+🟡+⚪)")),AND(C16="⚪ Tùy chọn",'📋 Thông Tin'!$D$10="Nâng cao (🟢+🟡+⚪)"))),"✓ Có","✗ Không")</f>
        <v>✗ Không</v>
      </c>
      <c r="E16" s="16">
        <f>IF(D16="✓ Có",VLOOKUP(B16,'Hệ Số'!B:C,2,FALSE),0)</f>
        <v>0</v>
      </c>
      <c r="F16" s="8" t="s">
        <v>108</v>
      </c>
    </row>
    <row r="17" spans="1:6" ht="24" customHeight="1" x14ac:dyDescent="0.25">
      <c r="A17" s="9">
        <v>12</v>
      </c>
      <c r="B17" s="10" t="s">
        <v>109</v>
      </c>
      <c r="C17" s="17" t="s">
        <v>206</v>
      </c>
      <c r="D17" s="11" t="str">
        <f>IF(AND('📋 Thông Tin'!$B$10="E-commerce",OR(C17="🟢 Bắt buộc",AND(C17="🟡 Nên có",OR('📋 Thông Tin'!$D$10="Phổ thông (🟢+🟡)",'📋 Thông Tin'!$D$10="Nâng cao (🟢+🟡+⚪)")),AND(C17="⚪ Tùy chọn",'📋 Thông Tin'!$D$10="Nâng cao (🟢+🟡+⚪)"))),"✓ Có","✗ Không")</f>
        <v>✗ Không</v>
      </c>
      <c r="E17" s="18">
        <f>IF(D17="✓ Có",VLOOKUP(B17,'Hệ Số'!B:C,2,FALSE),0)</f>
        <v>0</v>
      </c>
      <c r="F17" s="12" t="s">
        <v>110</v>
      </c>
    </row>
    <row r="18" spans="1:6" ht="24" customHeight="1" x14ac:dyDescent="0.25">
      <c r="A18" s="5">
        <v>13</v>
      </c>
      <c r="B18" s="6" t="s">
        <v>111</v>
      </c>
      <c r="C18" s="20" t="s">
        <v>206</v>
      </c>
      <c r="D18" s="7" t="str">
        <f>IF(AND('📋 Thông Tin'!$B$10="E-commerce",OR(C18="🟢 Bắt buộc",AND(C18="🟡 Nên có",OR('📋 Thông Tin'!$D$10="Phổ thông (🟢+🟡)",'📋 Thông Tin'!$D$10="Nâng cao (🟢+🟡+⚪)")),AND(C18="⚪ Tùy chọn",'📋 Thông Tin'!$D$10="Nâng cao (🟢+🟡+⚪)"))),"✓ Có","✗ Không")</f>
        <v>✗ Không</v>
      </c>
      <c r="E18" s="16">
        <f>IF(D18="✓ Có",VLOOKUP(B18,'Hệ Số'!B:C,2,FALSE),0)</f>
        <v>0</v>
      </c>
      <c r="F18" s="8" t="s">
        <v>112</v>
      </c>
    </row>
    <row r="19" spans="1:6" ht="24" customHeight="1" x14ac:dyDescent="0.25">
      <c r="A19" s="9">
        <v>14</v>
      </c>
      <c r="B19" s="10" t="s">
        <v>113</v>
      </c>
      <c r="C19" s="17" t="s">
        <v>206</v>
      </c>
      <c r="D19" s="11" t="str">
        <f>IF(AND('📋 Thông Tin'!$B$10="E-commerce",OR(C19="🟢 Bắt buộc",AND(C19="🟡 Nên có",OR('📋 Thông Tin'!$D$10="Phổ thông (🟢+🟡)",'📋 Thông Tin'!$D$10="Nâng cao (🟢+🟡+⚪)")),AND(C19="⚪ Tùy chọn",'📋 Thông Tin'!$D$10="Nâng cao (🟢+🟡+⚪)"))),"✓ Có","✗ Không")</f>
        <v>✗ Không</v>
      </c>
      <c r="E19" s="18">
        <f>IF(D19="✓ Có",VLOOKUP(B19,'Hệ Số'!B:C,2,FALSE),0)</f>
        <v>0</v>
      </c>
      <c r="F19" s="12" t="s">
        <v>114</v>
      </c>
    </row>
    <row r="20" spans="1:6" ht="24" customHeight="1" x14ac:dyDescent="0.25">
      <c r="A20" s="5">
        <v>15</v>
      </c>
      <c r="B20" s="6" t="s">
        <v>115</v>
      </c>
      <c r="C20" s="19" t="s">
        <v>207</v>
      </c>
      <c r="D20" s="7" t="str">
        <f>IF(AND('📋 Thông Tin'!$B$10="E-commerce",OR(C20="🟢 Bắt buộc",AND(C20="🟡 Nên có",OR('📋 Thông Tin'!$D$10="Phổ thông (🟢+🟡)",'📋 Thông Tin'!$D$10="Nâng cao (🟢+🟡+⚪)")),AND(C20="⚪ Tùy chọn",'📋 Thông Tin'!$D$10="Nâng cao (🟢+🟡+⚪)"))),"✓ Có","✗ Không")</f>
        <v>✗ Không</v>
      </c>
      <c r="E20" s="16">
        <f>IF(D20="✓ Có",VLOOKUP(B20,'Hệ Số'!B:C,2,FALSE),0)</f>
        <v>0</v>
      </c>
      <c r="F20" s="8" t="s">
        <v>116</v>
      </c>
    </row>
    <row r="21" spans="1:6" ht="24" customHeight="1" x14ac:dyDescent="0.25">
      <c r="A21" s="9">
        <v>16</v>
      </c>
      <c r="B21" s="10" t="s">
        <v>117</v>
      </c>
      <c r="C21" s="19" t="s">
        <v>207</v>
      </c>
      <c r="D21" s="11" t="str">
        <f>IF(AND('📋 Thông Tin'!$B$10="E-commerce",OR(C21="🟢 Bắt buộc",AND(C21="🟡 Nên có",OR('📋 Thông Tin'!$D$10="Phổ thông (🟢+🟡)",'📋 Thông Tin'!$D$10="Nâng cao (🟢+🟡+⚪)")),AND(C21="⚪ Tùy chọn",'📋 Thông Tin'!$D$10="Nâng cao (🟢+🟡+⚪)"))),"✓ Có","✗ Không")</f>
        <v>✗ Không</v>
      </c>
      <c r="E21" s="18">
        <f>IF(D21="✓ Có",VLOOKUP(B21,'Hệ Số'!B:C,2,FALSE),0)</f>
        <v>0</v>
      </c>
      <c r="F21" s="12" t="s">
        <v>118</v>
      </c>
    </row>
    <row r="22" spans="1:6" ht="24" customHeight="1" x14ac:dyDescent="0.25">
      <c r="A22" s="5">
        <v>17</v>
      </c>
      <c r="B22" s="6" t="s">
        <v>119</v>
      </c>
      <c r="C22" s="20" t="s">
        <v>206</v>
      </c>
      <c r="D22" s="7" t="str">
        <f>IF(AND('📋 Thông Tin'!$B$10="E-commerce",OR(C22="🟢 Bắt buộc",AND(C22="🟡 Nên có",OR('📋 Thông Tin'!$D$10="Phổ thông (🟢+🟡)",'📋 Thông Tin'!$D$10="Nâng cao (🟢+🟡+⚪)")),AND(C22="⚪ Tùy chọn",'📋 Thông Tin'!$D$10="Nâng cao (🟢+🟡+⚪)"))),"✓ Có","✗ Không")</f>
        <v>✗ Không</v>
      </c>
      <c r="E22" s="16">
        <f>IF(D22="✓ Có",VLOOKUP(B22,'Hệ Số'!B:C,2,FALSE),0)</f>
        <v>0</v>
      </c>
      <c r="F22" s="8" t="s">
        <v>3</v>
      </c>
    </row>
    <row r="23" spans="1:6" ht="24" customHeight="1" x14ac:dyDescent="0.25">
      <c r="A23" s="9">
        <v>18</v>
      </c>
      <c r="B23" s="10" t="s">
        <v>120</v>
      </c>
      <c r="C23" s="19" t="s">
        <v>207</v>
      </c>
      <c r="D23" s="11" t="str">
        <f>IF(AND('📋 Thông Tin'!$B$10="E-commerce",OR(C23="🟢 Bắt buộc",AND(C23="🟡 Nên có",OR('📋 Thông Tin'!$D$10="Phổ thông (🟢+🟡)",'📋 Thông Tin'!$D$10="Nâng cao (🟢+🟡+⚪)")),AND(C23="⚪ Tùy chọn",'📋 Thông Tin'!$D$10="Nâng cao (🟢+🟡+⚪)"))),"✓ Có","✗ Không")</f>
        <v>✗ Không</v>
      </c>
      <c r="E23" s="18">
        <f>IF(D23="✓ Có",VLOOKUP(B23,'Hệ Số'!B:C,2,FALSE),0)</f>
        <v>0</v>
      </c>
      <c r="F23" s="12" t="s">
        <v>121</v>
      </c>
    </row>
    <row r="24" spans="1:6" ht="24" customHeight="1" x14ac:dyDescent="0.25">
      <c r="A24" s="5">
        <v>19</v>
      </c>
      <c r="B24" s="6" t="s">
        <v>122</v>
      </c>
      <c r="C24" s="19" t="s">
        <v>207</v>
      </c>
      <c r="D24" s="7" t="str">
        <f>IF(AND('📋 Thông Tin'!$B$10="E-commerce",OR(C24="🟢 Bắt buộc",AND(C24="🟡 Nên có",OR('📋 Thông Tin'!$D$10="Phổ thông (🟢+🟡)",'📋 Thông Tin'!$D$10="Nâng cao (🟢+🟡+⚪)")),AND(C24="⚪ Tùy chọn",'📋 Thông Tin'!$D$10="Nâng cao (🟢+🟡+⚪)"))),"✓ Có","✗ Không")</f>
        <v>✗ Không</v>
      </c>
      <c r="E24" s="16">
        <f>IF(D24="✓ Có",VLOOKUP(B24,'Hệ Số'!B:C,2,FALSE),0)</f>
        <v>0</v>
      </c>
      <c r="F24" s="8" t="s">
        <v>123</v>
      </c>
    </row>
    <row r="25" spans="1:6" ht="26.1" customHeight="1" x14ac:dyDescent="0.25">
      <c r="A25" s="39" t="s">
        <v>124</v>
      </c>
      <c r="B25" s="39"/>
      <c r="C25" s="39"/>
      <c r="D25" s="39"/>
      <c r="E25" s="39"/>
      <c r="F25" s="39"/>
    </row>
    <row r="26" spans="1:6" ht="24" customHeight="1" x14ac:dyDescent="0.25">
      <c r="A26" s="9">
        <v>20</v>
      </c>
      <c r="B26" s="10" t="s">
        <v>129</v>
      </c>
      <c r="C26" s="15" t="s">
        <v>205</v>
      </c>
      <c r="D26" s="11" t="str">
        <f>IF(AND('📋 Thông Tin'!$B$10="E-commerce",OR(C26="🟢 Bắt buộc",AND(C26="🟡 Nên có",OR('📋 Thông Tin'!$D$10="Phổ thông (🟢+🟡)",'📋 Thông Tin'!$D$10="Nâng cao (🟢+🟡+⚪)")),AND(C26="⚪ Tùy chọn",'📋 Thông Tin'!$D$10="Nâng cao (🟢+🟡+⚪)"))),"✓ Có","✗ Không")</f>
        <v>✗ Không</v>
      </c>
      <c r="E26" s="18">
        <f>IF(D26="✓ Có",VLOOKUP(B26,'Hệ Số'!B:C,2,FALSE),0)</f>
        <v>0</v>
      </c>
      <c r="F26" s="12" t="s">
        <v>130</v>
      </c>
    </row>
    <row r="27" spans="1:6" ht="24" customHeight="1" x14ac:dyDescent="0.25">
      <c r="A27" s="5">
        <v>21</v>
      </c>
      <c r="B27" s="6" t="s">
        <v>131</v>
      </c>
      <c r="C27" s="15" t="s">
        <v>205</v>
      </c>
      <c r="D27" s="7" t="str">
        <f>IF(AND('📋 Thông Tin'!$B$10="E-commerce",OR(C27="🟢 Bắt buộc",AND(C27="🟡 Nên có",OR('📋 Thông Tin'!$D$10="Phổ thông (🟢+🟡)",'📋 Thông Tin'!$D$10="Nâng cao (🟢+🟡+⚪)")),AND(C27="⚪ Tùy chọn",'📋 Thông Tin'!$D$10="Nâng cao (🟢+🟡+⚪)"))),"✓ Có","✗ Không")</f>
        <v>✗ Không</v>
      </c>
      <c r="E27" s="16">
        <f>IF(D27="✓ Có",VLOOKUP(B27,'Hệ Số'!B:C,2,FALSE),0)</f>
        <v>0</v>
      </c>
      <c r="F27" s="8" t="s">
        <v>132</v>
      </c>
    </row>
    <row r="28" spans="1:6" ht="24" customHeight="1" x14ac:dyDescent="0.25">
      <c r="A28" s="9">
        <v>22</v>
      </c>
      <c r="B28" s="10" t="s">
        <v>133</v>
      </c>
      <c r="C28" s="19" t="s">
        <v>207</v>
      </c>
      <c r="D28" s="11" t="str">
        <f>IF(AND('📋 Thông Tin'!$B$10="E-commerce",OR(C28="🟢 Bắt buộc",AND(C28="🟡 Nên có",OR('📋 Thông Tin'!$D$10="Phổ thông (🟢+🟡)",'📋 Thông Tin'!$D$10="Nâng cao (🟢+🟡+⚪)")),AND(C28="⚪ Tùy chọn",'📋 Thông Tin'!$D$10="Nâng cao (🟢+🟡+⚪)"))),"✓ Có","✗ Không")</f>
        <v>✗ Không</v>
      </c>
      <c r="E28" s="18">
        <f>IF(D28="✓ Có",VLOOKUP(B28,'Hệ Số'!B:C,2,FALSE),0)</f>
        <v>0</v>
      </c>
      <c r="F28" s="12" t="s">
        <v>134</v>
      </c>
    </row>
    <row r="29" spans="1:6" ht="24" customHeight="1" x14ac:dyDescent="0.25">
      <c r="A29" s="5">
        <v>23</v>
      </c>
      <c r="B29" s="6" t="s">
        <v>135</v>
      </c>
      <c r="C29" s="19" t="s">
        <v>207</v>
      </c>
      <c r="D29" s="7" t="str">
        <f>IF(AND('📋 Thông Tin'!$B$10="E-commerce",OR(C29="🟢 Bắt buộc",AND(C29="🟡 Nên có",OR('📋 Thông Tin'!$D$10="Phổ thông (🟢+🟡)",'📋 Thông Tin'!$D$10="Nâng cao (🟢+🟡+⚪)")),AND(C29="⚪ Tùy chọn",'📋 Thông Tin'!$D$10="Nâng cao (🟢+🟡+⚪)"))),"✓ Có","✗ Không")</f>
        <v>✗ Không</v>
      </c>
      <c r="E29" s="16">
        <f>IF(D29="✓ Có",VLOOKUP(B29,'Hệ Số'!B:C,2,FALSE),0)</f>
        <v>0</v>
      </c>
      <c r="F29" s="8" t="s">
        <v>136</v>
      </c>
    </row>
    <row r="30" spans="1:6" ht="26.1" customHeight="1" x14ac:dyDescent="0.25">
      <c r="A30" s="39" t="s">
        <v>137</v>
      </c>
      <c r="B30" s="39"/>
      <c r="C30" s="39"/>
      <c r="D30" s="39"/>
      <c r="E30" s="39"/>
      <c r="F30" s="39"/>
    </row>
    <row r="31" spans="1:6" ht="24" customHeight="1" x14ac:dyDescent="0.25">
      <c r="A31" s="9">
        <v>24</v>
      </c>
      <c r="B31" s="10" t="s">
        <v>138</v>
      </c>
      <c r="C31" s="19" t="s">
        <v>207</v>
      </c>
      <c r="D31" s="11" t="str">
        <f>IF(AND('📋 Thông Tin'!$B$10="E-commerce",OR(C31="🟢 Bắt buộc",AND(C31="🟡 Nên có",OR('📋 Thông Tin'!$D$10="Phổ thông (🟢+🟡)",'📋 Thông Tin'!$D$10="Nâng cao (🟢+🟡+⚪)")),AND(C31="⚪ Tùy chọn",'📋 Thông Tin'!$D$10="Nâng cao (🟢+🟡+⚪)"))),"✓ Có","✗ Không")</f>
        <v>✗ Không</v>
      </c>
      <c r="E31" s="18">
        <f>IF(D31="✓ Có",VLOOKUP(B31,'Hệ Số'!B:C,2,FALSE),0)</f>
        <v>0</v>
      </c>
      <c r="F31" s="12" t="s">
        <v>139</v>
      </c>
    </row>
    <row r="32" spans="1:6" ht="24" customHeight="1" x14ac:dyDescent="0.25">
      <c r="A32" s="5">
        <v>25</v>
      </c>
      <c r="B32" s="6" t="s">
        <v>140</v>
      </c>
      <c r="C32" s="20" t="s">
        <v>206</v>
      </c>
      <c r="D32" s="7" t="str">
        <f>IF(AND('📋 Thông Tin'!$B$10="E-commerce",OR(C32="🟢 Bắt buộc",AND(C32="🟡 Nên có",OR('📋 Thông Tin'!$D$10="Phổ thông (🟢+🟡)",'📋 Thông Tin'!$D$10="Nâng cao (🟢+🟡+⚪)")),AND(C32="⚪ Tùy chọn",'📋 Thông Tin'!$D$10="Nâng cao (🟢+🟡+⚪)"))),"✓ Có","✗ Không")</f>
        <v>✗ Không</v>
      </c>
      <c r="E32" s="16">
        <f>IF(D32="✓ Có",VLOOKUP(B32,'Hệ Số'!B:C,2,FALSE),0)</f>
        <v>0</v>
      </c>
      <c r="F32" s="8" t="s">
        <v>141</v>
      </c>
    </row>
    <row r="33" spans="1:6" ht="24" customHeight="1" x14ac:dyDescent="0.25">
      <c r="A33" s="9">
        <v>26</v>
      </c>
      <c r="B33" s="10" t="s">
        <v>142</v>
      </c>
      <c r="C33" s="17" t="s">
        <v>206</v>
      </c>
      <c r="D33" s="11" t="str">
        <f>IF(AND('📋 Thông Tin'!$B$10="E-commerce",OR(C33="🟢 Bắt buộc",AND(C33="🟡 Nên có",OR('📋 Thông Tin'!$D$10="Phổ thông (🟢+🟡)",'📋 Thông Tin'!$D$10="Nâng cao (🟢+🟡+⚪)")),AND(C33="⚪ Tùy chọn",'📋 Thông Tin'!$D$10="Nâng cao (🟢+🟡+⚪)"))),"✓ Có","✗ Không")</f>
        <v>✗ Không</v>
      </c>
      <c r="E33" s="18">
        <f>IF(D33="✓ Có",VLOOKUP(B33,'Hệ Số'!B:C,2,FALSE),0)</f>
        <v>0</v>
      </c>
      <c r="F33" s="12" t="s">
        <v>143</v>
      </c>
    </row>
    <row r="34" spans="1:6" ht="24" customHeight="1" x14ac:dyDescent="0.25">
      <c r="A34" s="5">
        <v>27</v>
      </c>
      <c r="B34" s="6" t="s">
        <v>144</v>
      </c>
      <c r="C34" s="19" t="s">
        <v>207</v>
      </c>
      <c r="D34" s="7" t="str">
        <f>IF(AND('📋 Thông Tin'!$B$10="E-commerce",OR(C34="🟢 Bắt buộc",AND(C34="🟡 Nên có",OR('📋 Thông Tin'!$D$10="Phổ thông (🟢+🟡)",'📋 Thông Tin'!$D$10="Nâng cao (🟢+🟡+⚪)")),AND(C34="⚪ Tùy chọn",'📋 Thông Tin'!$D$10="Nâng cao (🟢+🟡+⚪)"))),"✓ Có","✗ Không")</f>
        <v>✗ Không</v>
      </c>
      <c r="E34" s="16">
        <f>IF(D34="✓ Có",VLOOKUP(B34,'Hệ Số'!B:C,2,FALSE),0)</f>
        <v>0</v>
      </c>
      <c r="F34" s="8" t="s">
        <v>145</v>
      </c>
    </row>
    <row r="35" spans="1:6" ht="24" customHeight="1" x14ac:dyDescent="0.25">
      <c r="A35" s="9">
        <v>28</v>
      </c>
      <c r="B35" s="10" t="s">
        <v>146</v>
      </c>
      <c r="C35" s="19" t="s">
        <v>207</v>
      </c>
      <c r="D35" s="11" t="str">
        <f>IF(AND('📋 Thông Tin'!$B$10="E-commerce",OR(C35="🟢 Bắt buộc",AND(C35="🟡 Nên có",OR('📋 Thông Tin'!$D$10="Phổ thông (🟢+🟡)",'📋 Thông Tin'!$D$10="Nâng cao (🟢+🟡+⚪)")),AND(C35="⚪ Tùy chọn",'📋 Thông Tin'!$D$10="Nâng cao (🟢+🟡+⚪)"))),"✓ Có","✗ Không")</f>
        <v>✗ Không</v>
      </c>
      <c r="E35" s="18">
        <f>IF(D35="✓ Có",VLOOKUP(B35,'Hệ Số'!B:C,2,FALSE),0)</f>
        <v>0</v>
      </c>
      <c r="F35" s="12" t="s">
        <v>147</v>
      </c>
    </row>
    <row r="36" spans="1:6" ht="26.1" customHeight="1" x14ac:dyDescent="0.25">
      <c r="A36" s="39" t="s">
        <v>148</v>
      </c>
      <c r="B36" s="39"/>
      <c r="C36" s="39"/>
      <c r="D36" s="39"/>
      <c r="E36" s="39"/>
      <c r="F36" s="39"/>
    </row>
    <row r="37" spans="1:6" ht="24" customHeight="1" x14ac:dyDescent="0.25">
      <c r="A37" s="5">
        <v>29</v>
      </c>
      <c r="B37" s="6" t="s">
        <v>149</v>
      </c>
      <c r="C37" s="15" t="s">
        <v>205</v>
      </c>
      <c r="D37" s="7" t="str">
        <f>IF(AND('📋 Thông Tin'!$B$10="E-commerce",OR(C37="🟢 Bắt buộc",AND(C37="🟡 Nên có",OR('📋 Thông Tin'!$D$10="Phổ thông (🟢+🟡)",'📋 Thông Tin'!$D$10="Nâng cao (🟢+🟡+⚪)")),AND(C37="⚪ Tùy chọn",'📋 Thông Tin'!$D$10="Nâng cao (🟢+🟡+⚪)"))),"✓ Có","✗ Không")</f>
        <v>✗ Không</v>
      </c>
      <c r="E37" s="16">
        <f>IF(D37="✓ Có",VLOOKUP(B37,'Hệ Số'!B:C,2,FALSE),0)</f>
        <v>0</v>
      </c>
      <c r="F37" s="8" t="s">
        <v>3</v>
      </c>
    </row>
    <row r="38" spans="1:6" ht="24" customHeight="1" x14ac:dyDescent="0.25">
      <c r="A38" s="9">
        <v>30</v>
      </c>
      <c r="B38" s="10" t="s">
        <v>150</v>
      </c>
      <c r="C38" s="19" t="s">
        <v>207</v>
      </c>
      <c r="D38" s="11" t="str">
        <f>IF(AND('📋 Thông Tin'!$B$10="E-commerce",OR(C38="🟢 Bắt buộc",AND(C38="🟡 Nên có",OR('📋 Thông Tin'!$D$10="Phổ thông (🟢+🟡)",'📋 Thông Tin'!$D$10="Nâng cao (🟢+🟡+⚪)")),AND(C38="⚪ Tùy chọn",'📋 Thông Tin'!$D$10="Nâng cao (🟢+🟡+⚪)"))),"✓ Có","✗ Không")</f>
        <v>✗ Không</v>
      </c>
      <c r="E38" s="18">
        <f>IF(D38="✓ Có",VLOOKUP(B38,'Hệ Số'!B:C,2,FALSE),0)</f>
        <v>0</v>
      </c>
      <c r="F38" s="12" t="s">
        <v>151</v>
      </c>
    </row>
    <row r="39" spans="1:6" ht="24" customHeight="1" x14ac:dyDescent="0.25">
      <c r="A39" s="5">
        <v>31</v>
      </c>
      <c r="B39" s="6" t="s">
        <v>152</v>
      </c>
      <c r="C39" s="19" t="s">
        <v>207</v>
      </c>
      <c r="D39" s="7" t="str">
        <f>IF(AND('📋 Thông Tin'!$B$10="E-commerce",OR(C39="🟢 Bắt buộc",AND(C39="🟡 Nên có",OR('📋 Thông Tin'!$D$10="Phổ thông (🟢+🟡)",'📋 Thông Tin'!$D$10="Nâng cao (🟢+🟡+⚪)")),AND(C39="⚪ Tùy chọn",'📋 Thông Tin'!$D$10="Nâng cao (🟢+🟡+⚪)"))),"✓ Có","✗ Không")</f>
        <v>✗ Không</v>
      </c>
      <c r="E39" s="16">
        <f>IF(D39="✓ Có",VLOOKUP(B39,'Hệ Số'!B:C,2,FALSE),0)</f>
        <v>0</v>
      </c>
      <c r="F39" s="8" t="s">
        <v>153</v>
      </c>
    </row>
    <row r="40" spans="1:6" ht="26.1" customHeight="1" x14ac:dyDescent="0.25">
      <c r="A40" s="39" t="s">
        <v>154</v>
      </c>
      <c r="B40" s="39"/>
      <c r="C40" s="39"/>
      <c r="D40" s="39"/>
      <c r="E40" s="39"/>
      <c r="F40" s="39"/>
    </row>
    <row r="41" spans="1:6" ht="24" customHeight="1" x14ac:dyDescent="0.25">
      <c r="A41" s="9">
        <v>32</v>
      </c>
      <c r="B41" s="10" t="s">
        <v>155</v>
      </c>
      <c r="C41" s="19" t="s">
        <v>207</v>
      </c>
      <c r="D41" s="11" t="str">
        <f>IF(AND('📋 Thông Tin'!$B$10="E-commerce",OR(C41="🟢 Bắt buộc",AND(C41="🟡 Nên có",OR('📋 Thông Tin'!$D$10="Phổ thông (🟢+🟡)",'📋 Thông Tin'!$D$10="Nâng cao (🟢+🟡+⚪)")),AND(C41="⚪ Tùy chọn",'📋 Thông Tin'!$D$10="Nâng cao (🟢+🟡+⚪)"))),"✓ Có","✗ Không")</f>
        <v>✗ Không</v>
      </c>
      <c r="E41" s="18">
        <f>IF(D41="✓ Có",VLOOKUP(B41,'Hệ Số'!B:C,2,FALSE),0)</f>
        <v>0</v>
      </c>
      <c r="F41" s="12" t="s">
        <v>156</v>
      </c>
    </row>
    <row r="42" spans="1:6" ht="24" customHeight="1" x14ac:dyDescent="0.25">
      <c r="A42" s="5">
        <v>33</v>
      </c>
      <c r="B42" s="6" t="s">
        <v>157</v>
      </c>
      <c r="C42" s="19" t="s">
        <v>207</v>
      </c>
      <c r="D42" s="7" t="str">
        <f>IF(AND('📋 Thông Tin'!$B$10="E-commerce",OR(C42="🟢 Bắt buộc",AND(C42="🟡 Nên có",OR('📋 Thông Tin'!$D$10="Phổ thông (🟢+🟡)",'📋 Thông Tin'!$D$10="Nâng cao (🟢+🟡+⚪)")),AND(C42="⚪ Tùy chọn",'📋 Thông Tin'!$D$10="Nâng cao (🟢+🟡+⚪)"))),"✓ Có","✗ Không")</f>
        <v>✗ Không</v>
      </c>
      <c r="E42" s="16">
        <f>IF(D42="✓ Có",VLOOKUP(B42,'Hệ Số'!B:C,2,FALSE),0)</f>
        <v>0</v>
      </c>
      <c r="F42" s="8" t="s">
        <v>158</v>
      </c>
    </row>
    <row r="43" spans="1:6" ht="24" customHeight="1" x14ac:dyDescent="0.25">
      <c r="A43" s="9">
        <v>34</v>
      </c>
      <c r="B43" s="10" t="s">
        <v>159</v>
      </c>
      <c r="C43" s="19" t="s">
        <v>207</v>
      </c>
      <c r="D43" s="11" t="str">
        <f>IF(AND('📋 Thông Tin'!$B$10="E-commerce",OR(C43="🟢 Bắt buộc",AND(C43="🟡 Nên có",OR('📋 Thông Tin'!$D$10="Phổ thông (🟢+🟡)",'📋 Thông Tin'!$D$10="Nâng cao (🟢+🟡+⚪)")),AND(C43="⚪ Tùy chọn",'📋 Thông Tin'!$D$10="Nâng cao (🟢+🟡+⚪)"))),"✓ Có","✗ Không")</f>
        <v>✗ Không</v>
      </c>
      <c r="E43" s="18">
        <f>IF(D43="✓ Có",VLOOKUP(B43,'Hệ Số'!B:C,2,FALSE),0)</f>
        <v>0</v>
      </c>
      <c r="F43" s="12" t="s">
        <v>160</v>
      </c>
    </row>
    <row r="44" spans="1:6" ht="24" customHeight="1" x14ac:dyDescent="0.25">
      <c r="A44" s="5">
        <v>35</v>
      </c>
      <c r="B44" s="6" t="s">
        <v>161</v>
      </c>
      <c r="C44" s="20" t="s">
        <v>206</v>
      </c>
      <c r="D44" s="7" t="str">
        <f>IF(AND('📋 Thông Tin'!$B$10="E-commerce",OR(C44="🟢 Bắt buộc",AND(C44="🟡 Nên có",OR('📋 Thông Tin'!$D$10="Phổ thông (🟢+🟡)",'📋 Thông Tin'!$D$10="Nâng cao (🟢+🟡+⚪)")),AND(C44="⚪ Tùy chọn",'📋 Thông Tin'!$D$10="Nâng cao (🟢+🟡+⚪)"))),"✓ Có","✗ Không")</f>
        <v>✗ Không</v>
      </c>
      <c r="E44" s="16">
        <f>IF(D44="✓ Có",VLOOKUP(B44,'Hệ Số'!B:C,2,FALSE),0)</f>
        <v>0</v>
      </c>
      <c r="F44" s="8" t="s">
        <v>3</v>
      </c>
    </row>
    <row r="45" spans="1:6" ht="24" customHeight="1" x14ac:dyDescent="0.25">
      <c r="A45" s="9">
        <v>36</v>
      </c>
      <c r="B45" s="10" t="s">
        <v>162</v>
      </c>
      <c r="C45" s="17" t="s">
        <v>206</v>
      </c>
      <c r="D45" s="11" t="str">
        <f>IF(AND('📋 Thông Tin'!$B$10="E-commerce",OR(C45="🟢 Bắt buộc",AND(C45="🟡 Nên có",OR('📋 Thông Tin'!$D$10="Phổ thông (🟢+🟡)",'📋 Thông Tin'!$D$10="Nâng cao (🟢+🟡+⚪)")),AND(C45="⚪ Tùy chọn",'📋 Thông Tin'!$D$10="Nâng cao (🟢+🟡+⚪)"))),"✓ Có","✗ Không")</f>
        <v>✗ Không</v>
      </c>
      <c r="E45" s="18">
        <f>IF(D45="✓ Có",VLOOKUP(B45,'Hệ Số'!B:C,2,FALSE),0)</f>
        <v>0</v>
      </c>
      <c r="F45" s="12" t="s">
        <v>163</v>
      </c>
    </row>
    <row r="46" spans="1:6" ht="26.1" customHeight="1" x14ac:dyDescent="0.25">
      <c r="A46" s="39" t="s">
        <v>164</v>
      </c>
      <c r="B46" s="39"/>
      <c r="C46" s="39"/>
      <c r="D46" s="39"/>
      <c r="E46" s="39"/>
      <c r="F46" s="39"/>
    </row>
    <row r="47" spans="1:6" ht="24" customHeight="1" x14ac:dyDescent="0.25">
      <c r="A47" s="5">
        <v>37</v>
      </c>
      <c r="B47" s="6" t="s">
        <v>165</v>
      </c>
      <c r="C47" s="15" t="s">
        <v>205</v>
      </c>
      <c r="D47" s="7" t="str">
        <f>IF(AND('📋 Thông Tin'!$B$10="E-commerce",OR(C47="🟢 Bắt buộc",AND(C47="🟡 Nên có",OR('📋 Thông Tin'!$D$10="Phổ thông (🟢+🟡)",'📋 Thông Tin'!$D$10="Nâng cao (🟢+🟡+⚪)")),AND(C47="⚪ Tùy chọn",'📋 Thông Tin'!$D$10="Nâng cao (🟢+🟡+⚪)"))),"✓ Có","✗ Không")</f>
        <v>✗ Không</v>
      </c>
      <c r="E47" s="16">
        <f>IF(D47="✓ Có",VLOOKUP(B47,'Hệ Số'!B:C,2,FALSE),0)</f>
        <v>0</v>
      </c>
      <c r="F47" s="8" t="s">
        <v>3</v>
      </c>
    </row>
    <row r="48" spans="1:6" ht="24" customHeight="1" x14ac:dyDescent="0.25">
      <c r="A48" s="9">
        <v>38</v>
      </c>
      <c r="B48" s="10" t="s">
        <v>166</v>
      </c>
      <c r="C48" s="15" t="s">
        <v>205</v>
      </c>
      <c r="D48" s="11" t="str">
        <f>IF(AND('📋 Thông Tin'!$B$10="E-commerce",OR(C48="🟢 Bắt buộc",AND(C48="🟡 Nên có",OR('📋 Thông Tin'!$D$10="Phổ thông (🟢+🟡)",'📋 Thông Tin'!$D$10="Nâng cao (🟢+🟡+⚪)")),AND(C48="⚪ Tùy chọn",'📋 Thông Tin'!$D$10="Nâng cao (🟢+🟡+⚪)"))),"✓ Có","✗ Không")</f>
        <v>✗ Không</v>
      </c>
      <c r="E48" s="18">
        <f>IF(D48="✓ Có",VLOOKUP(B48,'Hệ Số'!B:C,2,FALSE),0)</f>
        <v>0</v>
      </c>
      <c r="F48" s="12" t="s">
        <v>3</v>
      </c>
    </row>
    <row r="49" spans="1:6" ht="24" customHeight="1" x14ac:dyDescent="0.25">
      <c r="A49" s="5">
        <v>39</v>
      </c>
      <c r="B49" s="6" t="s">
        <v>167</v>
      </c>
      <c r="C49" s="19" t="s">
        <v>207</v>
      </c>
      <c r="D49" s="7" t="str">
        <f>IF(AND('📋 Thông Tin'!$B$10="E-commerce",OR(C49="🟢 Bắt buộc",AND(C49="🟡 Nên có",OR('📋 Thông Tin'!$D$10="Phổ thông (🟢+🟡)",'📋 Thông Tin'!$D$10="Nâng cao (🟢+🟡+⚪)")),AND(C49="⚪ Tùy chọn",'📋 Thông Tin'!$D$10="Nâng cao (🟢+🟡+⚪)"))),"✓ Có","✗ Không")</f>
        <v>✗ Không</v>
      </c>
      <c r="E49" s="16">
        <f>IF(D49="✓ Có",VLOOKUP(B49,'Hệ Số'!B:C,2,FALSE),0)</f>
        <v>0</v>
      </c>
      <c r="F49" s="8" t="s">
        <v>168</v>
      </c>
    </row>
    <row r="50" spans="1:6" ht="24" customHeight="1" x14ac:dyDescent="0.25">
      <c r="A50" s="9">
        <v>40</v>
      </c>
      <c r="B50" s="10" t="s">
        <v>169</v>
      </c>
      <c r="C50" s="19" t="s">
        <v>207</v>
      </c>
      <c r="D50" s="11" t="str">
        <f>IF(AND('📋 Thông Tin'!$B$10="E-commerce",OR(C50="🟢 Bắt buộc",AND(C50="🟡 Nên có",OR('📋 Thông Tin'!$D$10="Phổ thông (🟢+🟡)",'📋 Thông Tin'!$D$10="Nâng cao (🟢+🟡+⚪)")),AND(C50="⚪ Tùy chọn",'📋 Thông Tin'!$D$10="Nâng cao (🟢+🟡+⚪)"))),"✓ Có","✗ Không")</f>
        <v>✗ Không</v>
      </c>
      <c r="E50" s="18">
        <f>IF(D50="✓ Có",VLOOKUP(B50,'Hệ Số'!B:C,2,FALSE),0)</f>
        <v>0</v>
      </c>
      <c r="F50" s="12" t="s">
        <v>3</v>
      </c>
    </row>
    <row r="51" spans="1:6" ht="24" customHeight="1" x14ac:dyDescent="0.25">
      <c r="A51" s="5">
        <v>41</v>
      </c>
      <c r="B51" s="6" t="s">
        <v>170</v>
      </c>
      <c r="C51" s="19" t="s">
        <v>207</v>
      </c>
      <c r="D51" s="7" t="str">
        <f>IF(AND('📋 Thông Tin'!$B$10="E-commerce",OR(C51="🟢 Bắt buộc",AND(C51="🟡 Nên có",OR('📋 Thông Tin'!$D$10="Phổ thông (🟢+🟡)",'📋 Thông Tin'!$D$10="Nâng cao (🟢+🟡+⚪)")),AND(C51="⚪ Tùy chọn",'📋 Thông Tin'!$D$10="Nâng cao (🟢+🟡+⚪)"))),"✓ Có","✗ Không")</f>
        <v>✗ Không</v>
      </c>
      <c r="E51" s="16">
        <f>IF(D51="✓ Có",VLOOKUP(B51,'Hệ Số'!B:C,2,FALSE),0)</f>
        <v>0</v>
      </c>
      <c r="F51" s="8" t="s">
        <v>3</v>
      </c>
    </row>
    <row r="52" spans="1:6" ht="24" customHeight="1" x14ac:dyDescent="0.25">
      <c r="A52" s="9">
        <v>42</v>
      </c>
      <c r="B52" s="10" t="s">
        <v>171</v>
      </c>
      <c r="C52" s="19" t="s">
        <v>207</v>
      </c>
      <c r="D52" s="11" t="str">
        <f>IF(AND('📋 Thông Tin'!$B$10="E-commerce",OR(C52="🟢 Bắt buộc",AND(C52="🟡 Nên có",OR('📋 Thông Tin'!$D$10="Phổ thông (🟢+🟡)",'📋 Thông Tin'!$D$10="Nâng cao (🟢+🟡+⚪)")),AND(C52="⚪ Tùy chọn",'📋 Thông Tin'!$D$10="Nâng cao (🟢+🟡+⚪)"))),"✓ Có","✗ Không")</f>
        <v>✗ Không</v>
      </c>
      <c r="E52" s="18">
        <f>IF(D52="✓ Có",VLOOKUP(B52,'Hệ Số'!B:C,2,FALSE),0)</f>
        <v>0</v>
      </c>
      <c r="F52" s="12" t="s">
        <v>3</v>
      </c>
    </row>
    <row r="53" spans="1:6" ht="24" customHeight="1" x14ac:dyDescent="0.25">
      <c r="A53" s="5">
        <v>43</v>
      </c>
      <c r="B53" s="6" t="s">
        <v>172</v>
      </c>
      <c r="C53" s="15" t="s">
        <v>205</v>
      </c>
      <c r="D53" s="7" t="str">
        <f>IF(AND('📋 Thông Tin'!$B$10="E-commerce",OR(C53="🟢 Bắt buộc",AND(C53="🟡 Nên có",OR('📋 Thông Tin'!$D$10="Phổ thông (🟢+🟡)",'📋 Thông Tin'!$D$10="Nâng cao (🟢+🟡+⚪)")),AND(C53="⚪ Tùy chọn",'📋 Thông Tin'!$D$10="Nâng cao (🟢+🟡+⚪)"))),"✓ Có","✗ Không")</f>
        <v>✗ Không</v>
      </c>
      <c r="E53" s="16">
        <f>IF(D53="✓ Có",VLOOKUP(B53,'Hệ Số'!B:C,2,FALSE),0)</f>
        <v>0</v>
      </c>
      <c r="F53" s="8" t="s">
        <v>173</v>
      </c>
    </row>
    <row r="54" spans="1:6" ht="24" customHeight="1" x14ac:dyDescent="0.25">
      <c r="A54" s="9">
        <v>44</v>
      </c>
      <c r="B54" s="10" t="s">
        <v>174</v>
      </c>
      <c r="C54" s="19" t="s">
        <v>207</v>
      </c>
      <c r="D54" s="11" t="str">
        <f>IF(AND('📋 Thông Tin'!$B$10="E-commerce",OR(C54="🟢 Bắt buộc",AND(C54="🟡 Nên có",OR('📋 Thông Tin'!$D$10="Phổ thông (🟢+🟡)",'📋 Thông Tin'!$D$10="Nâng cao (🟢+🟡+⚪)")),AND(C54="⚪ Tùy chọn",'📋 Thông Tin'!$D$10="Nâng cao (🟢+🟡+⚪)"))),"✓ Có","✗ Không")</f>
        <v>✗ Không</v>
      </c>
      <c r="E54" s="18">
        <f>IF(D54="✓ Có",VLOOKUP(B54,'Hệ Số'!B:C,2,FALSE),0)</f>
        <v>0</v>
      </c>
      <c r="F54" s="12" t="s">
        <v>3</v>
      </c>
    </row>
    <row r="55" spans="1:6" ht="24" customHeight="1" x14ac:dyDescent="0.25">
      <c r="A55" s="5">
        <v>45</v>
      </c>
      <c r="B55" s="6" t="s">
        <v>175</v>
      </c>
      <c r="C55" s="20" t="s">
        <v>206</v>
      </c>
      <c r="D55" s="7" t="str">
        <f>IF(AND('📋 Thông Tin'!$B$10="E-commerce",OR(C55="🟢 Bắt buộc",AND(C55="🟡 Nên có",OR('📋 Thông Tin'!$D$10="Phổ thông (🟢+🟡)",'📋 Thông Tin'!$D$10="Nâng cao (🟢+🟡+⚪)")),AND(C55="⚪ Tùy chọn",'📋 Thông Tin'!$D$10="Nâng cao (🟢+🟡+⚪)"))),"✓ Có","✗ Không")</f>
        <v>✗ Không</v>
      </c>
      <c r="E55" s="16">
        <f>IF(D55="✓ Có",VLOOKUP(B55,'Hệ Số'!B:C,2,FALSE),0)</f>
        <v>0</v>
      </c>
      <c r="F55" s="8" t="s">
        <v>176</v>
      </c>
    </row>
    <row r="56" spans="1:6" ht="24" customHeight="1" x14ac:dyDescent="0.25">
      <c r="A56" s="9">
        <v>46</v>
      </c>
      <c r="B56" s="10" t="s">
        <v>177</v>
      </c>
      <c r="C56" s="19" t="s">
        <v>207</v>
      </c>
      <c r="D56" s="11" t="str">
        <f>IF(AND('📋 Thông Tin'!$B$10="E-commerce",OR(C56="🟢 Bắt buộc",AND(C56="🟡 Nên có",OR('📋 Thông Tin'!$D$10="Phổ thông (🟢+🟡)",'📋 Thông Tin'!$D$10="Nâng cao (🟢+🟡+⚪)")),AND(C56="⚪ Tùy chọn",'📋 Thông Tin'!$D$10="Nâng cao (🟢+🟡+⚪)"))),"✓ Có","✗ Không")</f>
        <v>✗ Không</v>
      </c>
      <c r="E56" s="18">
        <f>IF(D56="✓ Có",VLOOKUP(B56,'Hệ Số'!B:C,2,FALSE),0)</f>
        <v>0</v>
      </c>
      <c r="F56" s="12" t="s">
        <v>178</v>
      </c>
    </row>
    <row r="57" spans="1:6" ht="24" customHeight="1" x14ac:dyDescent="0.25">
      <c r="A57" s="5">
        <v>47</v>
      </c>
      <c r="B57" s="6" t="s">
        <v>179</v>
      </c>
      <c r="C57" s="19" t="s">
        <v>207</v>
      </c>
      <c r="D57" s="7" t="str">
        <f>IF(AND('📋 Thông Tin'!$B$10="E-commerce",OR(C57="🟢 Bắt buộc",AND(C57="🟡 Nên có",OR('📋 Thông Tin'!$D$10="Phổ thông (🟢+🟡)",'📋 Thông Tin'!$D$10="Nâng cao (🟢+🟡+⚪)")),AND(C57="⚪ Tùy chọn",'📋 Thông Tin'!$D$10="Nâng cao (🟢+🟡+⚪)"))),"✓ Có","✗ Không")</f>
        <v>✗ Không</v>
      </c>
      <c r="E57" s="16">
        <f>IF(D57="✓ Có",VLOOKUP(B57,'Hệ Số'!B:C,2,FALSE),0)</f>
        <v>0</v>
      </c>
      <c r="F57" s="8" t="s">
        <v>3</v>
      </c>
    </row>
    <row r="58" spans="1:6" ht="26.1" customHeight="1" x14ac:dyDescent="0.25">
      <c r="A58" s="39" t="s">
        <v>180</v>
      </c>
      <c r="B58" s="39"/>
      <c r="C58" s="39"/>
      <c r="D58" s="39"/>
      <c r="E58" s="39"/>
      <c r="F58" s="39"/>
    </row>
    <row r="59" spans="1:6" ht="24" customHeight="1" x14ac:dyDescent="0.25">
      <c r="A59" s="9">
        <v>48</v>
      </c>
      <c r="B59" s="10" t="s">
        <v>181</v>
      </c>
      <c r="C59" s="17" t="s">
        <v>206</v>
      </c>
      <c r="D59" s="11" t="str">
        <f>IF(AND('📋 Thông Tin'!$B$10="E-commerce",OR(C59="🟢 Bắt buộc",AND(C59="🟡 Nên có",OR('📋 Thông Tin'!$D$10="Phổ thông (🟢+🟡)",'📋 Thông Tin'!$D$10="Nâng cao (🟢+🟡+⚪)")),AND(C59="⚪ Tùy chọn",'📋 Thông Tin'!$D$10="Nâng cao (🟢+🟡+⚪)"))),"✓ Có","✗ Không")</f>
        <v>✗ Không</v>
      </c>
      <c r="E59" s="18">
        <f>IF(D59="✓ Có",VLOOKUP(B59,'Hệ Số'!B:C,2,FALSE),0)</f>
        <v>0</v>
      </c>
      <c r="F59" s="12" t="s">
        <v>182</v>
      </c>
    </row>
    <row r="60" spans="1:6" ht="24" customHeight="1" x14ac:dyDescent="0.25">
      <c r="A60" s="5">
        <v>49</v>
      </c>
      <c r="B60" s="6" t="s">
        <v>183</v>
      </c>
      <c r="C60" s="20" t="s">
        <v>206</v>
      </c>
      <c r="D60" s="7" t="str">
        <f>IF(AND('📋 Thông Tin'!$B$10="E-commerce",OR(C60="🟢 Bắt buộc",AND(C60="🟡 Nên có",OR('📋 Thông Tin'!$D$10="Phổ thông (🟢+🟡)",'📋 Thông Tin'!$D$10="Nâng cao (🟢+🟡+⚪)")),AND(C60="⚪ Tùy chọn",'📋 Thông Tin'!$D$10="Nâng cao (🟢+🟡+⚪)"))),"✓ Có","✗ Không")</f>
        <v>✗ Không</v>
      </c>
      <c r="E60" s="16">
        <f>IF(D60="✓ Có",VLOOKUP(B60,'Hệ Số'!B:C,2,FALSE),0)</f>
        <v>0</v>
      </c>
      <c r="F60" s="8" t="s">
        <v>3</v>
      </c>
    </row>
    <row r="61" spans="1:6" ht="24" customHeight="1" x14ac:dyDescent="0.25">
      <c r="A61" s="9">
        <v>50</v>
      </c>
      <c r="B61" s="10" t="s">
        <v>184</v>
      </c>
      <c r="C61" s="17" t="s">
        <v>206</v>
      </c>
      <c r="D61" s="11" t="str">
        <f>IF(AND('📋 Thông Tin'!$B$10="E-commerce",OR(C61="🟢 Bắt buộc",AND(C61="🟡 Nên có",OR('📋 Thông Tin'!$D$10="Phổ thông (🟢+🟡)",'📋 Thông Tin'!$D$10="Nâng cao (🟢+🟡+⚪)")),AND(C61="⚪ Tùy chọn",'📋 Thông Tin'!$D$10="Nâng cao (🟢+🟡+⚪)"))),"✓ Có","✗ Không")</f>
        <v>✗ Không</v>
      </c>
      <c r="E61" s="18">
        <f>IF(D61="✓ Có",VLOOKUP(B61,'Hệ Số'!B:C,2,FALSE),0)</f>
        <v>0</v>
      </c>
      <c r="F61" s="12" t="s">
        <v>185</v>
      </c>
    </row>
    <row r="62" spans="1:6" ht="24" customHeight="1" x14ac:dyDescent="0.25">
      <c r="A62" s="5">
        <v>51</v>
      </c>
      <c r="B62" s="6" t="s">
        <v>186</v>
      </c>
      <c r="C62" s="20" t="s">
        <v>206</v>
      </c>
      <c r="D62" s="7" t="str">
        <f>IF(AND('📋 Thông Tin'!$B$10="E-commerce",OR(C62="🟢 Bắt buộc",AND(C62="🟡 Nên có",OR('📋 Thông Tin'!$D$10="Phổ thông (🟢+🟡)",'📋 Thông Tin'!$D$10="Nâng cao (🟢+🟡+⚪)")),AND(C62="⚪ Tùy chọn",'📋 Thông Tin'!$D$10="Nâng cao (🟢+🟡+⚪)"))),"✓ Có","✗ Không")</f>
        <v>✗ Không</v>
      </c>
      <c r="E62" s="16">
        <f>IF(D62="✓ Có",VLOOKUP(B62,'Hệ Số'!B:C,2,FALSE),0)</f>
        <v>0</v>
      </c>
      <c r="F62" s="8" t="s">
        <v>187</v>
      </c>
    </row>
    <row r="63" spans="1:6" ht="24" customHeight="1" x14ac:dyDescent="0.25">
      <c r="A63" s="9">
        <v>52</v>
      </c>
      <c r="B63" s="10" t="s">
        <v>188</v>
      </c>
      <c r="C63" s="17" t="s">
        <v>206</v>
      </c>
      <c r="D63" s="11" t="str">
        <f>IF(AND('📋 Thông Tin'!$B$10="E-commerce",OR(C63="🟢 Bắt buộc",AND(C63="🟡 Nên có",OR('📋 Thông Tin'!$D$10="Phổ thông (🟢+🟡)",'📋 Thông Tin'!$D$10="Nâng cao (🟢+🟡+⚪)")),AND(C63="⚪ Tùy chọn",'📋 Thông Tin'!$D$10="Nâng cao (🟢+🟡+⚪)"))),"✓ Có","✗ Không")</f>
        <v>✗ Không</v>
      </c>
      <c r="E63" s="18">
        <f>IF(D63="✓ Có",VLOOKUP(B63,'Hệ Số'!B:C,2,FALSE),0)</f>
        <v>0</v>
      </c>
      <c r="F63" s="12" t="s">
        <v>189</v>
      </c>
    </row>
    <row r="64" spans="1:6" ht="24" customHeight="1" x14ac:dyDescent="0.25">
      <c r="A64" s="5">
        <v>53</v>
      </c>
      <c r="B64" s="6" t="s">
        <v>190</v>
      </c>
      <c r="C64" s="20" t="s">
        <v>206</v>
      </c>
      <c r="D64" s="7" t="str">
        <f>IF(AND('📋 Thông Tin'!$B$10="E-commerce",OR(C64="🟢 Bắt buộc",AND(C64="🟡 Nên có",OR('📋 Thông Tin'!$D$10="Phổ thông (🟢+🟡)",'📋 Thông Tin'!$D$10="Nâng cao (🟢+🟡+⚪)")),AND(C64="⚪ Tùy chọn",'📋 Thông Tin'!$D$10="Nâng cao (🟢+🟡+⚪)"))),"✓ Có","✗ Không")</f>
        <v>✗ Không</v>
      </c>
      <c r="E64" s="16">
        <f>IF(D64="✓ Có",VLOOKUP(B64,'Hệ Số'!B:C,2,FALSE),0)</f>
        <v>0</v>
      </c>
      <c r="F64" s="8" t="s">
        <v>3</v>
      </c>
    </row>
    <row r="65" spans="1:6" ht="24" customHeight="1" x14ac:dyDescent="0.25">
      <c r="A65" s="9">
        <v>54</v>
      </c>
      <c r="B65" s="10" t="s">
        <v>191</v>
      </c>
      <c r="C65" s="17" t="s">
        <v>206</v>
      </c>
      <c r="D65" s="11" t="str">
        <f>IF(AND('📋 Thông Tin'!$B$10="E-commerce",OR(C65="🟢 Bắt buộc",AND(C65="🟡 Nên có",OR('📋 Thông Tin'!$D$10="Phổ thông (🟢+🟡)",'📋 Thông Tin'!$D$10="Nâng cao (🟢+🟡+⚪)")),AND(C65="⚪ Tùy chọn",'📋 Thông Tin'!$D$10="Nâng cao (🟢+🟡+⚪)"))),"✓ Có","✗ Không")</f>
        <v>✗ Không</v>
      </c>
      <c r="E65" s="18">
        <f>IF(D65="✓ Có",VLOOKUP(B65,'Hệ Số'!B:C,2,FALSE),0)</f>
        <v>0</v>
      </c>
      <c r="F65" s="12" t="s">
        <v>192</v>
      </c>
    </row>
    <row r="66" spans="1:6" ht="24" customHeight="1" x14ac:dyDescent="0.25">
      <c r="A66" s="5">
        <v>55</v>
      </c>
      <c r="B66" s="6" t="s">
        <v>193</v>
      </c>
      <c r="C66" s="20" t="s">
        <v>206</v>
      </c>
      <c r="D66" s="7" t="str">
        <f>IF(AND('📋 Thông Tin'!$B$10="E-commerce",OR(C66="🟢 Bắt buộc",AND(C66="🟡 Nên có",OR('📋 Thông Tin'!$D$10="Phổ thông (🟢+🟡)",'📋 Thông Tin'!$D$10="Nâng cao (🟢+🟡+⚪)")),AND(C66="⚪ Tùy chọn",'📋 Thông Tin'!$D$10="Nâng cao (🟢+🟡+⚪)"))),"✓ Có","✗ Không")</f>
        <v>✗ Không</v>
      </c>
      <c r="E66" s="16">
        <f>IF(D66="✓ Có",VLOOKUP(B66,'Hệ Số'!B:C,2,FALSE),0)</f>
        <v>0</v>
      </c>
      <c r="F66" s="8" t="s">
        <v>3</v>
      </c>
    </row>
    <row r="67" spans="1:6" ht="24" customHeight="1" x14ac:dyDescent="0.25">
      <c r="A67" s="9">
        <v>56</v>
      </c>
      <c r="B67" s="10" t="s">
        <v>194</v>
      </c>
      <c r="C67" s="17" t="s">
        <v>206</v>
      </c>
      <c r="D67" s="11" t="str">
        <f>IF(AND('📋 Thông Tin'!$B$10="E-commerce",OR(C67="🟢 Bắt buộc",AND(C67="🟡 Nên có",OR('📋 Thông Tin'!$D$10="Phổ thông (🟢+🟡)",'📋 Thông Tin'!$D$10="Nâng cao (🟢+🟡+⚪)")),AND(C67="⚪ Tùy chọn",'📋 Thông Tin'!$D$10="Nâng cao (🟢+🟡+⚪)"))),"✓ Có","✗ Không")</f>
        <v>✗ Không</v>
      </c>
      <c r="E67" s="18">
        <f>IF(D67="✓ Có",VLOOKUP(B67,'Hệ Số'!B:C,2,FALSE),0)</f>
        <v>0</v>
      </c>
      <c r="F67" s="12" t="s">
        <v>3</v>
      </c>
    </row>
    <row r="68" spans="1:6" ht="24" customHeight="1" x14ac:dyDescent="0.25">
      <c r="A68" s="5">
        <v>57</v>
      </c>
      <c r="B68" s="6" t="s">
        <v>195</v>
      </c>
      <c r="C68" s="20" t="s">
        <v>206</v>
      </c>
      <c r="D68" s="7" t="str">
        <f>IF(AND('📋 Thông Tin'!$B$10="E-commerce",OR(C68="🟢 Bắt buộc",AND(C68="🟡 Nên có",OR('📋 Thông Tin'!$D$10="Phổ thông (🟢+🟡)",'📋 Thông Tin'!$D$10="Nâng cao (🟢+🟡+⚪)")),AND(C68="⚪ Tùy chọn",'📋 Thông Tin'!$D$10="Nâng cao (🟢+🟡+⚪)"))),"✓ Có","✗ Không")</f>
        <v>✗ Không</v>
      </c>
      <c r="E68" s="16">
        <f>IF(D68="✓ Có",VLOOKUP(B68,'Hệ Số'!B:C,2,FALSE),0)</f>
        <v>0</v>
      </c>
      <c r="F68" s="8" t="s">
        <v>3</v>
      </c>
    </row>
    <row r="69" spans="1:6" ht="26.1" customHeight="1" x14ac:dyDescent="0.25">
      <c r="A69" s="39" t="s">
        <v>196</v>
      </c>
      <c r="B69" s="39"/>
      <c r="C69" s="39"/>
      <c r="D69" s="39"/>
      <c r="E69" s="39"/>
      <c r="F69" s="39"/>
    </row>
    <row r="70" spans="1:6" ht="24" customHeight="1" x14ac:dyDescent="0.25">
      <c r="A70" s="9">
        <v>58</v>
      </c>
      <c r="B70" s="10" t="s">
        <v>197</v>
      </c>
      <c r="C70" s="19" t="s">
        <v>207</v>
      </c>
      <c r="D70" s="11" t="str">
        <f>IF(AND('📋 Thông Tin'!$B$10="E-commerce",OR(C70="🟢 Bắt buộc",AND(C70="🟡 Nên có",OR('📋 Thông Tin'!$D$10="Phổ thông (🟢+🟡)",'📋 Thông Tin'!$D$10="Nâng cao (🟢+🟡+⚪)")),AND(C70="⚪ Tùy chọn",'📋 Thông Tin'!$D$10="Nâng cao (🟢+🟡+⚪)"))),"✓ Có","✗ Không")</f>
        <v>✗ Không</v>
      </c>
      <c r="E70" s="18">
        <f>IF(D70="✓ Có",VLOOKUP(B70,'Hệ Số'!B:C,2,FALSE),0)</f>
        <v>0</v>
      </c>
      <c r="F70" s="12" t="s">
        <v>198</v>
      </c>
    </row>
    <row r="71" spans="1:6" ht="24" customHeight="1" x14ac:dyDescent="0.25">
      <c r="A71" s="5">
        <v>59</v>
      </c>
      <c r="B71" s="6" t="s">
        <v>199</v>
      </c>
      <c r="C71" s="20" t="s">
        <v>206</v>
      </c>
      <c r="D71" s="7" t="str">
        <f>IF(AND('📋 Thông Tin'!$B$10="E-commerce",OR(C71="🟢 Bắt buộc",AND(C71="🟡 Nên có",OR('📋 Thông Tin'!$D$10="Phổ thông (🟢+🟡)",'📋 Thông Tin'!$D$10="Nâng cao (🟢+🟡+⚪)")),AND(C71="⚪ Tùy chọn",'📋 Thông Tin'!$D$10="Nâng cao (🟢+🟡+⚪)"))),"✓ Có","✗ Không")</f>
        <v>✗ Không</v>
      </c>
      <c r="E71" s="16">
        <f>IF(D71="✓ Có",VLOOKUP(B71,'Hệ Số'!B:C,2,FALSE),0)</f>
        <v>0</v>
      </c>
      <c r="F71" s="8" t="s">
        <v>3</v>
      </c>
    </row>
    <row r="72" spans="1:6" ht="24" customHeight="1" x14ac:dyDescent="0.25">
      <c r="A72" s="9">
        <v>60</v>
      </c>
      <c r="B72" s="10" t="s">
        <v>200</v>
      </c>
      <c r="C72" s="17" t="s">
        <v>206</v>
      </c>
      <c r="D72" s="11" t="str">
        <f>IF(AND('📋 Thông Tin'!$B$10="E-commerce",OR(C72="🟢 Bắt buộc",AND(C72="🟡 Nên có",OR('📋 Thông Tin'!$D$10="Phổ thông (🟢+🟡)",'📋 Thông Tin'!$D$10="Nâng cao (🟢+🟡+⚪)")),AND(C72="⚪ Tùy chọn",'📋 Thông Tin'!$D$10="Nâng cao (🟢+🟡+⚪)"))),"✓ Có","✗ Không")</f>
        <v>✗ Không</v>
      </c>
      <c r="E72" s="18">
        <f>IF(D72="✓ Có",VLOOKUP(B72,'Hệ Số'!B:C,2,FALSE),0)</f>
        <v>0</v>
      </c>
      <c r="F72" s="12" t="s">
        <v>3</v>
      </c>
    </row>
    <row r="73" spans="1:6" ht="24" customHeight="1" x14ac:dyDescent="0.25">
      <c r="A73" s="5">
        <v>61</v>
      </c>
      <c r="B73" s="6" t="s">
        <v>201</v>
      </c>
      <c r="C73" s="19" t="s">
        <v>207</v>
      </c>
      <c r="D73" s="7" t="str">
        <f>IF(AND('📋 Thông Tin'!$B$10="E-commerce",OR(C73="🟢 Bắt buộc",AND(C73="🟡 Nên có",OR('📋 Thông Tin'!$D$10="Phổ thông (🟢+🟡)",'📋 Thông Tin'!$D$10="Nâng cao (🟢+🟡+⚪)")),AND(C73="⚪ Tùy chọn",'📋 Thông Tin'!$D$10="Nâng cao (🟢+🟡+⚪)"))),"✓ Có","✗ Không")</f>
        <v>✗ Không</v>
      </c>
      <c r="E73" s="16">
        <f>IF(D73="✓ Có",VLOOKUP(B73,'Hệ Số'!B:C,2,FALSE),0)</f>
        <v>0</v>
      </c>
      <c r="F73" s="8" t="s">
        <v>3</v>
      </c>
    </row>
    <row r="76" spans="1:6" ht="32.1" customHeight="1" x14ac:dyDescent="0.25">
      <c r="A76" s="35" t="s">
        <v>208</v>
      </c>
      <c r="B76" s="35"/>
      <c r="C76" s="35"/>
      <c r="D76" s="35"/>
      <c r="E76" s="35"/>
      <c r="F76" s="35"/>
    </row>
    <row r="77" spans="1:6" ht="30" customHeight="1" x14ac:dyDescent="0.25">
      <c r="A77" s="46" t="s">
        <v>209</v>
      </c>
      <c r="B77" s="46"/>
      <c r="C77" s="21"/>
      <c r="D77" s="21"/>
      <c r="E77" s="47">
        <f>SUM(E5:E73)</f>
        <v>0</v>
      </c>
      <c r="F77" s="47"/>
    </row>
    <row r="78" spans="1:6" ht="30" customHeight="1" x14ac:dyDescent="0.25">
      <c r="A78" s="46" t="s">
        <v>210</v>
      </c>
      <c r="B78" s="46"/>
      <c r="C78" s="21"/>
      <c r="D78" s="21"/>
      <c r="E78" s="47">
        <f>E77*1.5</f>
        <v>0</v>
      </c>
      <c r="F78" s="47"/>
    </row>
    <row r="79" spans="1:6" ht="30" customHeight="1" x14ac:dyDescent="0.25">
      <c r="A79" s="46" t="s">
        <v>211</v>
      </c>
      <c r="B79" s="46"/>
      <c r="C79" s="21"/>
      <c r="D79" s="21"/>
      <c r="E79" s="47">
        <f>CEILING(E78/8,1)</f>
        <v>0</v>
      </c>
      <c r="F79" s="47"/>
    </row>
    <row r="80" spans="1:6" ht="30" customHeight="1" x14ac:dyDescent="0.25">
      <c r="A80" s="42" t="s">
        <v>212</v>
      </c>
      <c r="B80" s="42"/>
      <c r="C80" s="22"/>
      <c r="D80" s="22"/>
      <c r="E80" s="43">
        <f>E79*1000000</f>
        <v>0</v>
      </c>
      <c r="F80" s="43"/>
    </row>
    <row r="82" spans="1:6" ht="26.1" customHeight="1" x14ac:dyDescent="0.25">
      <c r="A82" s="44" t="s">
        <v>213</v>
      </c>
      <c r="B82" s="44"/>
      <c r="C82" s="23"/>
      <c r="D82" s="23"/>
      <c r="E82" s="45">
        <f>E80*0.4</f>
        <v>0</v>
      </c>
      <c r="F82" s="45"/>
    </row>
    <row r="83" spans="1:6" ht="26.1" customHeight="1" x14ac:dyDescent="0.25">
      <c r="A83" s="44" t="s">
        <v>214</v>
      </c>
      <c r="B83" s="44"/>
      <c r="C83" s="23"/>
      <c r="D83" s="23"/>
      <c r="E83" s="45">
        <f>E80*0.6</f>
        <v>0</v>
      </c>
      <c r="F83" s="45"/>
    </row>
    <row r="85" spans="1:6" ht="24" customHeight="1" x14ac:dyDescent="0.25">
      <c r="A85" s="41" t="s">
        <v>215</v>
      </c>
      <c r="B85" s="41"/>
      <c r="C85" s="41"/>
      <c r="D85" s="41"/>
      <c r="E85" s="41"/>
      <c r="F85" s="41"/>
    </row>
  </sheetData>
  <mergeCells count="24">
    <mergeCell ref="A1:F1"/>
    <mergeCell ref="A4:F4"/>
    <mergeCell ref="A14:F14"/>
    <mergeCell ref="A25:F25"/>
    <mergeCell ref="A30:F30"/>
    <mergeCell ref="A36:F36"/>
    <mergeCell ref="A40:F40"/>
    <mergeCell ref="A46:F46"/>
    <mergeCell ref="A58:F58"/>
    <mergeCell ref="A69:F69"/>
    <mergeCell ref="A76:F76"/>
    <mergeCell ref="A77:B77"/>
    <mergeCell ref="E77:F77"/>
    <mergeCell ref="A78:B78"/>
    <mergeCell ref="E78:F78"/>
    <mergeCell ref="A83:B83"/>
    <mergeCell ref="E83:F83"/>
    <mergeCell ref="A85:F85"/>
    <mergeCell ref="A79:B79"/>
    <mergeCell ref="E79:F79"/>
    <mergeCell ref="A80:B80"/>
    <mergeCell ref="E80:F80"/>
    <mergeCell ref="A82:B82"/>
    <mergeCell ref="E82:F82"/>
  </mergeCells>
  <pageMargins left="0.7" right="0.7" top="0.75" bottom="0.75" header="0.3" footer="0.3"/>
  <pageSetup paperSize="9" orientation="landscape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B8FCE"/>
    <pageSetUpPr fitToPage="1"/>
  </sheetPr>
  <dimension ref="A1:F82"/>
  <sheetViews>
    <sheetView workbookViewId="0">
      <selection sqref="A1:F1"/>
    </sheetView>
  </sheetViews>
  <sheetFormatPr defaultRowHeight="15" x14ac:dyDescent="0.25"/>
  <cols>
    <col min="1" max="1" width="5" customWidth="1"/>
    <col min="2" max="2" width="38" customWidth="1"/>
    <col min="3" max="3" width="14" customWidth="1"/>
    <col min="4" max="4" width="12" customWidth="1"/>
    <col min="5" max="5" width="10" customWidth="1"/>
    <col min="6" max="6" width="28" customWidth="1"/>
  </cols>
  <sheetData>
    <row r="1" spans="1:6" ht="36" customHeight="1" x14ac:dyDescent="0.25">
      <c r="A1" s="40" t="s">
        <v>219</v>
      </c>
      <c r="B1" s="40"/>
      <c r="C1" s="40"/>
      <c r="D1" s="40"/>
      <c r="E1" s="40"/>
      <c r="F1" s="40"/>
    </row>
    <row r="3" spans="1:6" ht="26.1" customHeight="1" x14ac:dyDescent="0.25">
      <c r="A3" s="4" t="s">
        <v>15</v>
      </c>
      <c r="B3" s="4" t="s">
        <v>88</v>
      </c>
      <c r="C3" s="4" t="s">
        <v>203</v>
      </c>
      <c r="D3" s="4" t="s">
        <v>204</v>
      </c>
      <c r="E3" s="4" t="s">
        <v>89</v>
      </c>
      <c r="F3" s="4" t="s">
        <v>90</v>
      </c>
    </row>
    <row r="4" spans="1:6" ht="26.1" customHeight="1" x14ac:dyDescent="0.25">
      <c r="A4" s="39" t="s">
        <v>91</v>
      </c>
      <c r="B4" s="39"/>
      <c r="C4" s="39"/>
      <c r="D4" s="39"/>
      <c r="E4" s="39"/>
      <c r="F4" s="39"/>
    </row>
    <row r="5" spans="1:6" ht="24" customHeight="1" x14ac:dyDescent="0.25">
      <c r="A5" s="5">
        <v>1</v>
      </c>
      <c r="B5" s="6" t="s">
        <v>92</v>
      </c>
      <c r="C5" s="15" t="s">
        <v>205</v>
      </c>
      <c r="D5" s="7" t="str">
        <f>IF(AND('📋 Thông Tin'!$B$10="Web App",OR(C5="🟢 Bắt buộc",AND(C5="🟡 Nên có",OR('📋 Thông Tin'!$D$10="Phổ thông (🟢+🟡)",'📋 Thông Tin'!$D$10="Nâng cao (🟢+🟡+⚪)")),AND(C5="⚪ Tùy chọn",'📋 Thông Tin'!$D$10="Nâng cao (🟢+🟡+⚪)"))),"✓ Có","✗ Không")</f>
        <v>✗ Không</v>
      </c>
      <c r="E5" s="16">
        <f>IF(D5="✓ Có",VLOOKUP(B5,'Hệ Số'!B:C,2,FALSE),0)</f>
        <v>0</v>
      </c>
      <c r="F5" s="8" t="s">
        <v>3</v>
      </c>
    </row>
    <row r="6" spans="1:6" ht="24" customHeight="1" x14ac:dyDescent="0.25">
      <c r="A6" s="9">
        <v>2</v>
      </c>
      <c r="B6" s="10" t="s">
        <v>93</v>
      </c>
      <c r="C6" s="17" t="s">
        <v>206</v>
      </c>
      <c r="D6" s="11" t="str">
        <f>IF(AND('📋 Thông Tin'!$B$10="Web App",OR(C6="🟢 Bắt buộc",AND(C6="🟡 Nên có",OR('📋 Thông Tin'!$D$10="Phổ thông (🟢+🟡)",'📋 Thông Tin'!$D$10="Nâng cao (🟢+🟡+⚪)")),AND(C6="⚪ Tùy chọn",'📋 Thông Tin'!$D$10="Nâng cao (🟢+🟡+⚪)"))),"✓ Có","✗ Không")</f>
        <v>✗ Không</v>
      </c>
      <c r="E6" s="18">
        <f>IF(D6="✓ Có",VLOOKUP(B6,'Hệ Số'!B:C,2,FALSE),0)</f>
        <v>0</v>
      </c>
      <c r="F6" s="12" t="s">
        <v>3</v>
      </c>
    </row>
    <row r="7" spans="1:6" ht="24" customHeight="1" x14ac:dyDescent="0.25">
      <c r="A7" s="5">
        <v>3</v>
      </c>
      <c r="B7" s="6" t="s">
        <v>94</v>
      </c>
      <c r="C7" s="20" t="s">
        <v>206</v>
      </c>
      <c r="D7" s="7" t="str">
        <f>IF(AND('📋 Thông Tin'!$B$10="Web App",OR(C7="🟢 Bắt buộc",AND(C7="🟡 Nên có",OR('📋 Thông Tin'!$D$10="Phổ thông (🟢+🟡)",'📋 Thông Tin'!$D$10="Nâng cao (🟢+🟡+⚪)")),AND(C7="⚪ Tùy chọn",'📋 Thông Tin'!$D$10="Nâng cao (🟢+🟡+⚪)"))),"✓ Có","✗ Không")</f>
        <v>✗ Không</v>
      </c>
      <c r="E7" s="16">
        <f>IF(D7="✓ Có",VLOOKUP(B7,'Hệ Số'!B:C,2,FALSE),0)</f>
        <v>0</v>
      </c>
      <c r="F7" s="8" t="s">
        <v>3</v>
      </c>
    </row>
    <row r="8" spans="1:6" ht="24" customHeight="1" x14ac:dyDescent="0.25">
      <c r="A8" s="9">
        <v>4</v>
      </c>
      <c r="B8" s="10" t="s">
        <v>95</v>
      </c>
      <c r="C8" s="15" t="s">
        <v>205</v>
      </c>
      <c r="D8" s="11" t="str">
        <f>IF(AND('📋 Thông Tin'!$B$10="Web App",OR(C8="🟢 Bắt buộc",AND(C8="🟡 Nên có",OR('📋 Thông Tin'!$D$10="Phổ thông (🟢+🟡)",'📋 Thông Tin'!$D$10="Nâng cao (🟢+🟡+⚪)")),AND(C8="⚪ Tùy chọn",'📋 Thông Tin'!$D$10="Nâng cao (🟢+🟡+⚪)"))),"✓ Có","✗ Không")</f>
        <v>✗ Không</v>
      </c>
      <c r="E8" s="18">
        <f>IF(D8="✓ Có",VLOOKUP(B8,'Hệ Số'!B:C,2,FALSE),0)</f>
        <v>0</v>
      </c>
      <c r="F8" s="12" t="s">
        <v>3</v>
      </c>
    </row>
    <row r="9" spans="1:6" ht="24" customHeight="1" x14ac:dyDescent="0.25">
      <c r="A9" s="5">
        <v>5</v>
      </c>
      <c r="B9" s="6" t="s">
        <v>96</v>
      </c>
      <c r="C9" s="15" t="s">
        <v>205</v>
      </c>
      <c r="D9" s="7" t="str">
        <f>IF(AND('📋 Thông Tin'!$B$10="Web App",OR(C9="🟢 Bắt buộc",AND(C9="🟡 Nên có",OR('📋 Thông Tin'!$D$10="Phổ thông (🟢+🟡)",'📋 Thông Tin'!$D$10="Nâng cao (🟢+🟡+⚪)")),AND(C9="⚪ Tùy chọn",'📋 Thông Tin'!$D$10="Nâng cao (🟢+🟡+⚪)"))),"✓ Có","✗ Không")</f>
        <v>✗ Không</v>
      </c>
      <c r="E9" s="16">
        <f>IF(D9="✓ Có",VLOOKUP(B9,'Hệ Số'!B:C,2,FALSE),0)</f>
        <v>0</v>
      </c>
      <c r="F9" s="8" t="s">
        <v>97</v>
      </c>
    </row>
    <row r="10" spans="1:6" ht="24" customHeight="1" x14ac:dyDescent="0.25">
      <c r="A10" s="9">
        <v>6</v>
      </c>
      <c r="B10" s="10" t="s">
        <v>98</v>
      </c>
      <c r="C10" s="17" t="s">
        <v>206</v>
      </c>
      <c r="D10" s="11" t="str">
        <f>IF(AND('📋 Thông Tin'!$B$10="Web App",OR(C10="🟢 Bắt buộc",AND(C10="🟡 Nên có",OR('📋 Thông Tin'!$D$10="Phổ thông (🟢+🟡)",'📋 Thông Tin'!$D$10="Nâng cao (🟢+🟡+⚪)")),AND(C10="⚪ Tùy chọn",'📋 Thông Tin'!$D$10="Nâng cao (🟢+🟡+⚪)"))),"✓ Có","✗ Không")</f>
        <v>✗ Không</v>
      </c>
      <c r="E10" s="18">
        <f>IF(D10="✓ Có",VLOOKUP(B10,'Hệ Số'!B:C,2,FALSE),0)</f>
        <v>0</v>
      </c>
      <c r="F10" s="12" t="s">
        <v>3</v>
      </c>
    </row>
    <row r="11" spans="1:6" ht="24" customHeight="1" x14ac:dyDescent="0.25">
      <c r="A11" s="5">
        <v>7</v>
      </c>
      <c r="B11" s="6" t="s">
        <v>99</v>
      </c>
      <c r="C11" s="20" t="s">
        <v>206</v>
      </c>
      <c r="D11" s="7" t="str">
        <f>IF(AND('📋 Thông Tin'!$B$10="Web App",OR(C11="🟢 Bắt buộc",AND(C11="🟡 Nên có",OR('📋 Thông Tin'!$D$10="Phổ thông (🟢+🟡)",'📋 Thông Tin'!$D$10="Nâng cao (🟢+🟡+⚪)")),AND(C11="⚪ Tùy chọn",'📋 Thông Tin'!$D$10="Nâng cao (🟢+🟡+⚪)"))),"✓ Có","✗ Không")</f>
        <v>✗ Không</v>
      </c>
      <c r="E11" s="16">
        <f>IF(D11="✓ Có",VLOOKUP(B11,'Hệ Số'!B:C,2,FALSE),0)</f>
        <v>0</v>
      </c>
      <c r="F11" s="8" t="s">
        <v>100</v>
      </c>
    </row>
    <row r="12" spans="1:6" ht="24" customHeight="1" x14ac:dyDescent="0.25">
      <c r="A12" s="9">
        <v>8</v>
      </c>
      <c r="B12" s="10" t="s">
        <v>102</v>
      </c>
      <c r="C12" s="17" t="s">
        <v>206</v>
      </c>
      <c r="D12" s="11" t="str">
        <f>IF(AND('📋 Thông Tin'!$B$10="Web App",OR(C12="🟢 Bắt buộc",AND(C12="🟡 Nên có",OR('📋 Thông Tin'!$D$10="Phổ thông (🟢+🟡)",'📋 Thông Tin'!$D$10="Nâng cao (🟢+🟡+⚪)")),AND(C12="⚪ Tùy chọn",'📋 Thông Tin'!$D$10="Nâng cao (🟢+🟡+⚪)"))),"✓ Có","✗ Không")</f>
        <v>✗ Không</v>
      </c>
      <c r="E12" s="18">
        <f>IF(D12="✓ Có",VLOOKUP(B12,'Hệ Số'!B:C,2,FALSE),0)</f>
        <v>0</v>
      </c>
      <c r="F12" s="12" t="s">
        <v>103</v>
      </c>
    </row>
    <row r="13" spans="1:6" ht="26.1" customHeight="1" x14ac:dyDescent="0.25">
      <c r="A13" s="39" t="s">
        <v>104</v>
      </c>
      <c r="B13" s="39"/>
      <c r="C13" s="39"/>
      <c r="D13" s="39"/>
      <c r="E13" s="39"/>
      <c r="F13" s="39"/>
    </row>
    <row r="14" spans="1:6" ht="24" customHeight="1" x14ac:dyDescent="0.25">
      <c r="A14" s="5">
        <v>9</v>
      </c>
      <c r="B14" s="6" t="s">
        <v>109</v>
      </c>
      <c r="C14" s="20" t="s">
        <v>206</v>
      </c>
      <c r="D14" s="7" t="str">
        <f>IF(AND('📋 Thông Tin'!$B$10="Web App",OR(C14="🟢 Bắt buộc",AND(C14="🟡 Nên có",OR('📋 Thông Tin'!$D$10="Phổ thông (🟢+🟡)",'📋 Thông Tin'!$D$10="Nâng cao (🟢+🟡+⚪)")),AND(C14="⚪ Tùy chọn",'📋 Thông Tin'!$D$10="Nâng cao (🟢+🟡+⚪)"))),"✓ Có","✗ Không")</f>
        <v>✗ Không</v>
      </c>
      <c r="E14" s="16">
        <f>IF(D14="✓ Có",VLOOKUP(B14,'Hệ Số'!B:C,2,FALSE),0)</f>
        <v>0</v>
      </c>
      <c r="F14" s="8" t="s">
        <v>110</v>
      </c>
    </row>
    <row r="15" spans="1:6" ht="24" customHeight="1" x14ac:dyDescent="0.25">
      <c r="A15" s="9">
        <v>10</v>
      </c>
      <c r="B15" s="10" t="s">
        <v>111</v>
      </c>
      <c r="C15" s="17" t="s">
        <v>206</v>
      </c>
      <c r="D15" s="11" t="str">
        <f>IF(AND('📋 Thông Tin'!$B$10="Web App",OR(C15="🟢 Bắt buộc",AND(C15="🟡 Nên có",OR('📋 Thông Tin'!$D$10="Phổ thông (🟢+🟡)",'📋 Thông Tin'!$D$10="Nâng cao (🟢+🟡+⚪)")),AND(C15="⚪ Tùy chọn",'📋 Thông Tin'!$D$10="Nâng cao (🟢+🟡+⚪)"))),"✓ Có","✗ Không")</f>
        <v>✗ Không</v>
      </c>
      <c r="E15" s="18">
        <f>IF(D15="✓ Có",VLOOKUP(B15,'Hệ Số'!B:C,2,FALSE),0)</f>
        <v>0</v>
      </c>
      <c r="F15" s="12" t="s">
        <v>112</v>
      </c>
    </row>
    <row r="16" spans="1:6" ht="24" customHeight="1" x14ac:dyDescent="0.25">
      <c r="A16" s="5">
        <v>11</v>
      </c>
      <c r="B16" s="6" t="s">
        <v>113</v>
      </c>
      <c r="C16" s="20" t="s">
        <v>206</v>
      </c>
      <c r="D16" s="7" t="str">
        <f>IF(AND('📋 Thông Tin'!$B$10="Web App",OR(C16="🟢 Bắt buộc",AND(C16="🟡 Nên có",OR('📋 Thông Tin'!$D$10="Phổ thông (🟢+🟡)",'📋 Thông Tin'!$D$10="Nâng cao (🟢+🟡+⚪)")),AND(C16="⚪ Tùy chọn",'📋 Thông Tin'!$D$10="Nâng cao (🟢+🟡+⚪)"))),"✓ Có","✗ Không")</f>
        <v>✗ Không</v>
      </c>
      <c r="E16" s="16">
        <f>IF(D16="✓ Có",VLOOKUP(B16,'Hệ Số'!B:C,2,FALSE),0)</f>
        <v>0</v>
      </c>
      <c r="F16" s="8" t="s">
        <v>114</v>
      </c>
    </row>
    <row r="17" spans="1:6" ht="24" customHeight="1" x14ac:dyDescent="0.25">
      <c r="A17" s="9">
        <v>12</v>
      </c>
      <c r="B17" s="10" t="s">
        <v>115</v>
      </c>
      <c r="C17" s="17" t="s">
        <v>206</v>
      </c>
      <c r="D17" s="11" t="str">
        <f>IF(AND('📋 Thông Tin'!$B$10="Web App",OR(C17="🟢 Bắt buộc",AND(C17="🟡 Nên có",OR('📋 Thông Tin'!$D$10="Phổ thông (🟢+🟡)",'📋 Thông Tin'!$D$10="Nâng cao (🟢+🟡+⚪)")),AND(C17="⚪ Tùy chọn",'📋 Thông Tin'!$D$10="Nâng cao (🟢+🟡+⚪)"))),"✓ Có","✗ Không")</f>
        <v>✗ Không</v>
      </c>
      <c r="E17" s="18">
        <f>IF(D17="✓ Có",VLOOKUP(B17,'Hệ Số'!B:C,2,FALSE),0)</f>
        <v>0</v>
      </c>
      <c r="F17" s="12" t="s">
        <v>116</v>
      </c>
    </row>
    <row r="18" spans="1:6" ht="24" customHeight="1" x14ac:dyDescent="0.25">
      <c r="A18" s="5">
        <v>13</v>
      </c>
      <c r="B18" s="6" t="s">
        <v>117</v>
      </c>
      <c r="C18" s="20" t="s">
        <v>206</v>
      </c>
      <c r="D18" s="7" t="str">
        <f>IF(AND('📋 Thông Tin'!$B$10="Web App",OR(C18="🟢 Bắt buộc",AND(C18="🟡 Nên có",OR('📋 Thông Tin'!$D$10="Phổ thông (🟢+🟡)",'📋 Thông Tin'!$D$10="Nâng cao (🟢+🟡+⚪)")),AND(C18="⚪ Tùy chọn",'📋 Thông Tin'!$D$10="Nâng cao (🟢+🟡+⚪)"))),"✓ Có","✗ Không")</f>
        <v>✗ Không</v>
      </c>
      <c r="E18" s="16">
        <f>IF(D18="✓ Có",VLOOKUP(B18,'Hệ Số'!B:C,2,FALSE),0)</f>
        <v>0</v>
      </c>
      <c r="F18" s="8" t="s">
        <v>118</v>
      </c>
    </row>
    <row r="19" spans="1:6" ht="24" customHeight="1" x14ac:dyDescent="0.25">
      <c r="A19" s="9">
        <v>14</v>
      </c>
      <c r="B19" s="10" t="s">
        <v>119</v>
      </c>
      <c r="C19" s="17" t="s">
        <v>206</v>
      </c>
      <c r="D19" s="11" t="str">
        <f>IF(AND('📋 Thông Tin'!$B$10="Web App",OR(C19="🟢 Bắt buộc",AND(C19="🟡 Nên có",OR('📋 Thông Tin'!$D$10="Phổ thông (🟢+🟡)",'📋 Thông Tin'!$D$10="Nâng cao (🟢+🟡+⚪)")),AND(C19="⚪ Tùy chọn",'📋 Thông Tin'!$D$10="Nâng cao (🟢+🟡+⚪)"))),"✓ Có","✗ Không")</f>
        <v>✗ Không</v>
      </c>
      <c r="E19" s="18">
        <f>IF(D19="✓ Có",VLOOKUP(B19,'Hệ Số'!B:C,2,FALSE),0)</f>
        <v>0</v>
      </c>
      <c r="F19" s="12" t="s">
        <v>3</v>
      </c>
    </row>
    <row r="20" spans="1:6" ht="24" customHeight="1" x14ac:dyDescent="0.25">
      <c r="A20" s="5">
        <v>15</v>
      </c>
      <c r="B20" s="6" t="s">
        <v>120</v>
      </c>
      <c r="C20" s="20" t="s">
        <v>206</v>
      </c>
      <c r="D20" s="7" t="str">
        <f>IF(AND('📋 Thông Tin'!$B$10="Web App",OR(C20="🟢 Bắt buộc",AND(C20="🟡 Nên có",OR('📋 Thông Tin'!$D$10="Phổ thông (🟢+🟡)",'📋 Thông Tin'!$D$10="Nâng cao (🟢+🟡+⚪)")),AND(C20="⚪ Tùy chọn",'📋 Thông Tin'!$D$10="Nâng cao (🟢+🟡+⚪)"))),"✓ Có","✗ Không")</f>
        <v>✗ Không</v>
      </c>
      <c r="E20" s="16">
        <f>IF(D20="✓ Có",VLOOKUP(B20,'Hệ Số'!B:C,2,FALSE),0)</f>
        <v>0</v>
      </c>
      <c r="F20" s="8" t="s">
        <v>121</v>
      </c>
    </row>
    <row r="21" spans="1:6" ht="24" customHeight="1" x14ac:dyDescent="0.25">
      <c r="A21" s="9">
        <v>16</v>
      </c>
      <c r="B21" s="10" t="s">
        <v>122</v>
      </c>
      <c r="C21" s="17" t="s">
        <v>206</v>
      </c>
      <c r="D21" s="11" t="str">
        <f>IF(AND('📋 Thông Tin'!$B$10="Web App",OR(C21="🟢 Bắt buộc",AND(C21="🟡 Nên có",OR('📋 Thông Tin'!$D$10="Phổ thông (🟢+🟡)",'📋 Thông Tin'!$D$10="Nâng cao (🟢+🟡+⚪)")),AND(C21="⚪ Tùy chọn",'📋 Thông Tin'!$D$10="Nâng cao (🟢+🟡+⚪)"))),"✓ Có","✗ Không")</f>
        <v>✗ Không</v>
      </c>
      <c r="E21" s="18">
        <f>IF(D21="✓ Có",VLOOKUP(B21,'Hệ Số'!B:C,2,FALSE),0)</f>
        <v>0</v>
      </c>
      <c r="F21" s="12" t="s">
        <v>123</v>
      </c>
    </row>
    <row r="22" spans="1:6" ht="26.1" customHeight="1" x14ac:dyDescent="0.25">
      <c r="A22" s="39" t="s">
        <v>124</v>
      </c>
      <c r="B22" s="39"/>
      <c r="C22" s="39"/>
      <c r="D22" s="39"/>
      <c r="E22" s="39"/>
      <c r="F22" s="39"/>
    </row>
    <row r="23" spans="1:6" ht="24" customHeight="1" x14ac:dyDescent="0.25">
      <c r="A23" s="5">
        <v>17</v>
      </c>
      <c r="B23" s="6" t="s">
        <v>129</v>
      </c>
      <c r="C23" s="20" t="s">
        <v>206</v>
      </c>
      <c r="D23" s="7" t="str">
        <f>IF(AND('📋 Thông Tin'!$B$10="Web App",OR(C23="🟢 Bắt buộc",AND(C23="🟡 Nên có",OR('📋 Thông Tin'!$D$10="Phổ thông (🟢+🟡)",'📋 Thông Tin'!$D$10="Nâng cao (🟢+🟡+⚪)")),AND(C23="⚪ Tùy chọn",'📋 Thông Tin'!$D$10="Nâng cao (🟢+🟡+⚪)"))),"✓ Có","✗ Không")</f>
        <v>✗ Không</v>
      </c>
      <c r="E23" s="16">
        <f>IF(D23="✓ Có",VLOOKUP(B23,'Hệ Số'!B:C,2,FALSE),0)</f>
        <v>0</v>
      </c>
      <c r="F23" s="8" t="s">
        <v>130</v>
      </c>
    </row>
    <row r="24" spans="1:6" ht="24" customHeight="1" x14ac:dyDescent="0.25">
      <c r="A24" s="9">
        <v>18</v>
      </c>
      <c r="B24" s="10" t="s">
        <v>131</v>
      </c>
      <c r="C24" s="17" t="s">
        <v>206</v>
      </c>
      <c r="D24" s="11" t="str">
        <f>IF(AND('📋 Thông Tin'!$B$10="Web App",OR(C24="🟢 Bắt buộc",AND(C24="🟡 Nên có",OR('📋 Thông Tin'!$D$10="Phổ thông (🟢+🟡)",'📋 Thông Tin'!$D$10="Nâng cao (🟢+🟡+⚪)")),AND(C24="⚪ Tùy chọn",'📋 Thông Tin'!$D$10="Nâng cao (🟢+🟡+⚪)"))),"✓ Có","✗ Không")</f>
        <v>✗ Không</v>
      </c>
      <c r="E24" s="18">
        <f>IF(D24="✓ Có",VLOOKUP(B24,'Hệ Số'!B:C,2,FALSE),0)</f>
        <v>0</v>
      </c>
      <c r="F24" s="12" t="s">
        <v>132</v>
      </c>
    </row>
    <row r="25" spans="1:6" ht="24" customHeight="1" x14ac:dyDescent="0.25">
      <c r="A25" s="5">
        <v>19</v>
      </c>
      <c r="B25" s="6" t="s">
        <v>133</v>
      </c>
      <c r="C25" s="20" t="s">
        <v>206</v>
      </c>
      <c r="D25" s="7" t="str">
        <f>IF(AND('📋 Thông Tin'!$B$10="Web App",OR(C25="🟢 Bắt buộc",AND(C25="🟡 Nên có",OR('📋 Thông Tin'!$D$10="Phổ thông (🟢+🟡)",'📋 Thông Tin'!$D$10="Nâng cao (🟢+🟡+⚪)")),AND(C25="⚪ Tùy chọn",'📋 Thông Tin'!$D$10="Nâng cao (🟢+🟡+⚪)"))),"✓ Có","✗ Không")</f>
        <v>✗ Không</v>
      </c>
      <c r="E25" s="16">
        <f>IF(D25="✓ Có",VLOOKUP(B25,'Hệ Số'!B:C,2,FALSE),0)</f>
        <v>0</v>
      </c>
      <c r="F25" s="8" t="s">
        <v>134</v>
      </c>
    </row>
    <row r="26" spans="1:6" ht="24" customHeight="1" x14ac:dyDescent="0.25">
      <c r="A26" s="9">
        <v>20</v>
      </c>
      <c r="B26" s="10" t="s">
        <v>135</v>
      </c>
      <c r="C26" s="17" t="s">
        <v>206</v>
      </c>
      <c r="D26" s="11" t="str">
        <f>IF(AND('📋 Thông Tin'!$B$10="Web App",OR(C26="🟢 Bắt buộc",AND(C26="🟡 Nên có",OR('📋 Thông Tin'!$D$10="Phổ thông (🟢+🟡)",'📋 Thông Tin'!$D$10="Nâng cao (🟢+🟡+⚪)")),AND(C26="⚪ Tùy chọn",'📋 Thông Tin'!$D$10="Nâng cao (🟢+🟡+⚪)"))),"✓ Có","✗ Không")</f>
        <v>✗ Không</v>
      </c>
      <c r="E26" s="18">
        <f>IF(D26="✓ Có",VLOOKUP(B26,'Hệ Số'!B:C,2,FALSE),0)</f>
        <v>0</v>
      </c>
      <c r="F26" s="12" t="s">
        <v>136</v>
      </c>
    </row>
    <row r="27" spans="1:6" ht="26.1" customHeight="1" x14ac:dyDescent="0.25">
      <c r="A27" s="39" t="s">
        <v>137</v>
      </c>
      <c r="B27" s="39"/>
      <c r="C27" s="39"/>
      <c r="D27" s="39"/>
      <c r="E27" s="39"/>
      <c r="F27" s="39"/>
    </row>
    <row r="28" spans="1:6" ht="24" customHeight="1" x14ac:dyDescent="0.25">
      <c r="A28" s="5">
        <v>21</v>
      </c>
      <c r="B28" s="6" t="s">
        <v>138</v>
      </c>
      <c r="C28" s="15" t="s">
        <v>205</v>
      </c>
      <c r="D28" s="7" t="str">
        <f>IF(AND('📋 Thông Tin'!$B$10="Web App",OR(C28="🟢 Bắt buộc",AND(C28="🟡 Nên có",OR('📋 Thông Tin'!$D$10="Phổ thông (🟢+🟡)",'📋 Thông Tin'!$D$10="Nâng cao (🟢+🟡+⚪)")),AND(C28="⚪ Tùy chọn",'📋 Thông Tin'!$D$10="Nâng cao (🟢+🟡+⚪)"))),"✓ Có","✗ Không")</f>
        <v>✗ Không</v>
      </c>
      <c r="E28" s="16">
        <f>IF(D28="✓ Có",VLOOKUP(B28,'Hệ Số'!B:C,2,FALSE),0)</f>
        <v>0</v>
      </c>
      <c r="F28" s="8" t="s">
        <v>139</v>
      </c>
    </row>
    <row r="29" spans="1:6" ht="24" customHeight="1" x14ac:dyDescent="0.25">
      <c r="A29" s="9">
        <v>22</v>
      </c>
      <c r="B29" s="10" t="s">
        <v>140</v>
      </c>
      <c r="C29" s="19" t="s">
        <v>207</v>
      </c>
      <c r="D29" s="11" t="str">
        <f>IF(AND('📋 Thông Tin'!$B$10="Web App",OR(C29="🟢 Bắt buộc",AND(C29="🟡 Nên có",OR('📋 Thông Tin'!$D$10="Phổ thông (🟢+🟡)",'📋 Thông Tin'!$D$10="Nâng cao (🟢+🟡+⚪)")),AND(C29="⚪ Tùy chọn",'📋 Thông Tin'!$D$10="Nâng cao (🟢+🟡+⚪)"))),"✓ Có","✗ Không")</f>
        <v>✗ Không</v>
      </c>
      <c r="E29" s="18">
        <f>IF(D29="✓ Có",VLOOKUP(B29,'Hệ Số'!B:C,2,FALSE),0)</f>
        <v>0</v>
      </c>
      <c r="F29" s="12" t="s">
        <v>141</v>
      </c>
    </row>
    <row r="30" spans="1:6" ht="24" customHeight="1" x14ac:dyDescent="0.25">
      <c r="A30" s="5">
        <v>23</v>
      </c>
      <c r="B30" s="6" t="s">
        <v>142</v>
      </c>
      <c r="C30" s="19" t="s">
        <v>207</v>
      </c>
      <c r="D30" s="7" t="str">
        <f>IF(AND('📋 Thông Tin'!$B$10="Web App",OR(C30="🟢 Bắt buộc",AND(C30="🟡 Nên có",OR('📋 Thông Tin'!$D$10="Phổ thông (🟢+🟡)",'📋 Thông Tin'!$D$10="Nâng cao (🟢+🟡+⚪)")),AND(C30="⚪ Tùy chọn",'📋 Thông Tin'!$D$10="Nâng cao (🟢+🟡+⚪)"))),"✓ Có","✗ Không")</f>
        <v>✗ Không</v>
      </c>
      <c r="E30" s="16">
        <f>IF(D30="✓ Có",VLOOKUP(B30,'Hệ Số'!B:C,2,FALSE),0)</f>
        <v>0</v>
      </c>
      <c r="F30" s="8" t="s">
        <v>143</v>
      </c>
    </row>
    <row r="31" spans="1:6" ht="24" customHeight="1" x14ac:dyDescent="0.25">
      <c r="A31" s="9">
        <v>24</v>
      </c>
      <c r="B31" s="10" t="s">
        <v>144</v>
      </c>
      <c r="C31" s="19" t="s">
        <v>207</v>
      </c>
      <c r="D31" s="11" t="str">
        <f>IF(AND('📋 Thông Tin'!$B$10="Web App",OR(C31="🟢 Bắt buộc",AND(C31="🟡 Nên có",OR('📋 Thông Tin'!$D$10="Phổ thông (🟢+🟡)",'📋 Thông Tin'!$D$10="Nâng cao (🟢+🟡+⚪)")),AND(C31="⚪ Tùy chọn",'📋 Thông Tin'!$D$10="Nâng cao (🟢+🟡+⚪)"))),"✓ Có","✗ Không")</f>
        <v>✗ Không</v>
      </c>
      <c r="E31" s="18">
        <f>IF(D31="✓ Có",VLOOKUP(B31,'Hệ Số'!B:C,2,FALSE),0)</f>
        <v>0</v>
      </c>
      <c r="F31" s="12" t="s">
        <v>145</v>
      </c>
    </row>
    <row r="32" spans="1:6" ht="24" customHeight="1" x14ac:dyDescent="0.25">
      <c r="A32" s="5">
        <v>25</v>
      </c>
      <c r="B32" s="6" t="s">
        <v>146</v>
      </c>
      <c r="C32" s="19" t="s">
        <v>207</v>
      </c>
      <c r="D32" s="7" t="str">
        <f>IF(AND('📋 Thông Tin'!$B$10="Web App",OR(C32="🟢 Bắt buộc",AND(C32="🟡 Nên có",OR('📋 Thông Tin'!$D$10="Phổ thông (🟢+🟡)",'📋 Thông Tin'!$D$10="Nâng cao (🟢+🟡+⚪)")),AND(C32="⚪ Tùy chọn",'📋 Thông Tin'!$D$10="Nâng cao (🟢+🟡+⚪)"))),"✓ Có","✗ Không")</f>
        <v>✗ Không</v>
      </c>
      <c r="E32" s="16">
        <f>IF(D32="✓ Có",VLOOKUP(B32,'Hệ Số'!B:C,2,FALSE),0)</f>
        <v>0</v>
      </c>
      <c r="F32" s="8" t="s">
        <v>147</v>
      </c>
    </row>
    <row r="33" spans="1:6" ht="26.1" customHeight="1" x14ac:dyDescent="0.25">
      <c r="A33" s="39" t="s">
        <v>148</v>
      </c>
      <c r="B33" s="39"/>
      <c r="C33" s="39"/>
      <c r="D33" s="39"/>
      <c r="E33" s="39"/>
      <c r="F33" s="39"/>
    </row>
    <row r="34" spans="1:6" ht="24" customHeight="1" x14ac:dyDescent="0.25">
      <c r="A34" s="9">
        <v>26</v>
      </c>
      <c r="B34" s="10" t="s">
        <v>149</v>
      </c>
      <c r="C34" s="15" t="s">
        <v>205</v>
      </c>
      <c r="D34" s="11" t="str">
        <f>IF(AND('📋 Thông Tin'!$B$10="Web App",OR(C34="🟢 Bắt buộc",AND(C34="🟡 Nên có",OR('📋 Thông Tin'!$D$10="Phổ thông (🟢+🟡)",'📋 Thông Tin'!$D$10="Nâng cao (🟢+🟡+⚪)")),AND(C34="⚪ Tùy chọn",'📋 Thông Tin'!$D$10="Nâng cao (🟢+🟡+⚪)"))),"✓ Có","✗ Không")</f>
        <v>✗ Không</v>
      </c>
      <c r="E34" s="18">
        <f>IF(D34="✓ Có",VLOOKUP(B34,'Hệ Số'!B:C,2,FALSE),0)</f>
        <v>0</v>
      </c>
      <c r="F34" s="12" t="s">
        <v>3</v>
      </c>
    </row>
    <row r="35" spans="1:6" ht="24" customHeight="1" x14ac:dyDescent="0.25">
      <c r="A35" s="5">
        <v>27</v>
      </c>
      <c r="B35" s="6" t="s">
        <v>150</v>
      </c>
      <c r="C35" s="19" t="s">
        <v>207</v>
      </c>
      <c r="D35" s="7" t="str">
        <f>IF(AND('📋 Thông Tin'!$B$10="Web App",OR(C35="🟢 Bắt buộc",AND(C35="🟡 Nên có",OR('📋 Thông Tin'!$D$10="Phổ thông (🟢+🟡)",'📋 Thông Tin'!$D$10="Nâng cao (🟢+🟡+⚪)")),AND(C35="⚪ Tùy chọn",'📋 Thông Tin'!$D$10="Nâng cao (🟢+🟡+⚪)"))),"✓ Có","✗ Không")</f>
        <v>✗ Không</v>
      </c>
      <c r="E35" s="16">
        <f>IF(D35="✓ Có",VLOOKUP(B35,'Hệ Số'!B:C,2,FALSE),0)</f>
        <v>0</v>
      </c>
      <c r="F35" s="8" t="s">
        <v>151</v>
      </c>
    </row>
    <row r="36" spans="1:6" ht="24" customHeight="1" x14ac:dyDescent="0.25">
      <c r="A36" s="9">
        <v>28</v>
      </c>
      <c r="B36" s="10" t="s">
        <v>152</v>
      </c>
      <c r="C36" s="19" t="s">
        <v>207</v>
      </c>
      <c r="D36" s="11" t="str">
        <f>IF(AND('📋 Thông Tin'!$B$10="Web App",OR(C36="🟢 Bắt buộc",AND(C36="🟡 Nên có",OR('📋 Thông Tin'!$D$10="Phổ thông (🟢+🟡)",'📋 Thông Tin'!$D$10="Nâng cao (🟢+🟡+⚪)")),AND(C36="⚪ Tùy chọn",'📋 Thông Tin'!$D$10="Nâng cao (🟢+🟡+⚪)"))),"✓ Có","✗ Không")</f>
        <v>✗ Không</v>
      </c>
      <c r="E36" s="18">
        <f>IF(D36="✓ Có",VLOOKUP(B36,'Hệ Số'!B:C,2,FALSE),0)</f>
        <v>0</v>
      </c>
      <c r="F36" s="12" t="s">
        <v>153</v>
      </c>
    </row>
    <row r="37" spans="1:6" ht="26.1" customHeight="1" x14ac:dyDescent="0.25">
      <c r="A37" s="39" t="s">
        <v>154</v>
      </c>
      <c r="B37" s="39"/>
      <c r="C37" s="39"/>
      <c r="D37" s="39"/>
      <c r="E37" s="39"/>
      <c r="F37" s="39"/>
    </row>
    <row r="38" spans="1:6" ht="24" customHeight="1" x14ac:dyDescent="0.25">
      <c r="A38" s="5">
        <v>29</v>
      </c>
      <c r="B38" s="6" t="s">
        <v>155</v>
      </c>
      <c r="C38" s="19" t="s">
        <v>207</v>
      </c>
      <c r="D38" s="7" t="str">
        <f>IF(AND('📋 Thông Tin'!$B$10="Web App",OR(C38="🟢 Bắt buộc",AND(C38="🟡 Nên có",OR('📋 Thông Tin'!$D$10="Phổ thông (🟢+🟡)",'📋 Thông Tin'!$D$10="Nâng cao (🟢+🟡+⚪)")),AND(C38="⚪ Tùy chọn",'📋 Thông Tin'!$D$10="Nâng cao (🟢+🟡+⚪)"))),"✓ Có","✗ Không")</f>
        <v>✗ Không</v>
      </c>
      <c r="E38" s="16">
        <f>IF(D38="✓ Có",VLOOKUP(B38,'Hệ Số'!B:C,2,FALSE),0)</f>
        <v>0</v>
      </c>
      <c r="F38" s="8" t="s">
        <v>156</v>
      </c>
    </row>
    <row r="39" spans="1:6" ht="24" customHeight="1" x14ac:dyDescent="0.25">
      <c r="A39" s="9">
        <v>30</v>
      </c>
      <c r="B39" s="10" t="s">
        <v>157</v>
      </c>
      <c r="C39" s="19" t="s">
        <v>207</v>
      </c>
      <c r="D39" s="11" t="str">
        <f>IF(AND('📋 Thông Tin'!$B$10="Web App",OR(C39="🟢 Bắt buộc",AND(C39="🟡 Nên có",OR('📋 Thông Tin'!$D$10="Phổ thông (🟢+🟡)",'📋 Thông Tin'!$D$10="Nâng cao (🟢+🟡+⚪)")),AND(C39="⚪ Tùy chọn",'📋 Thông Tin'!$D$10="Nâng cao (🟢+🟡+⚪)"))),"✓ Có","✗ Không")</f>
        <v>✗ Không</v>
      </c>
      <c r="E39" s="18">
        <f>IF(D39="✓ Có",VLOOKUP(B39,'Hệ Số'!B:C,2,FALSE),0)</f>
        <v>0</v>
      </c>
      <c r="F39" s="12" t="s">
        <v>158</v>
      </c>
    </row>
    <row r="40" spans="1:6" ht="24" customHeight="1" x14ac:dyDescent="0.25">
      <c r="A40" s="5">
        <v>31</v>
      </c>
      <c r="B40" s="6" t="s">
        <v>159</v>
      </c>
      <c r="C40" s="19" t="s">
        <v>207</v>
      </c>
      <c r="D40" s="7" t="str">
        <f>IF(AND('📋 Thông Tin'!$B$10="Web App",OR(C40="🟢 Bắt buộc",AND(C40="🟡 Nên có",OR('📋 Thông Tin'!$D$10="Phổ thông (🟢+🟡)",'📋 Thông Tin'!$D$10="Nâng cao (🟢+🟡+⚪)")),AND(C40="⚪ Tùy chọn",'📋 Thông Tin'!$D$10="Nâng cao (🟢+🟡+⚪)"))),"✓ Có","✗ Không")</f>
        <v>✗ Không</v>
      </c>
      <c r="E40" s="16">
        <f>IF(D40="✓ Có",VLOOKUP(B40,'Hệ Số'!B:C,2,FALSE),0)</f>
        <v>0</v>
      </c>
      <c r="F40" s="8" t="s">
        <v>160</v>
      </c>
    </row>
    <row r="41" spans="1:6" ht="24" customHeight="1" x14ac:dyDescent="0.25">
      <c r="A41" s="9">
        <v>32</v>
      </c>
      <c r="B41" s="10" t="s">
        <v>161</v>
      </c>
      <c r="C41" s="17" t="s">
        <v>206</v>
      </c>
      <c r="D41" s="11" t="str">
        <f>IF(AND('📋 Thông Tin'!$B$10="Web App",OR(C41="🟢 Bắt buộc",AND(C41="🟡 Nên có",OR('📋 Thông Tin'!$D$10="Phổ thông (🟢+🟡)",'📋 Thông Tin'!$D$10="Nâng cao (🟢+🟡+⚪)")),AND(C41="⚪ Tùy chọn",'📋 Thông Tin'!$D$10="Nâng cao (🟢+🟡+⚪)"))),"✓ Có","✗ Không")</f>
        <v>✗ Không</v>
      </c>
      <c r="E41" s="18">
        <f>IF(D41="✓ Có",VLOOKUP(B41,'Hệ Số'!B:C,2,FALSE),0)</f>
        <v>0</v>
      </c>
      <c r="F41" s="12" t="s">
        <v>3</v>
      </c>
    </row>
    <row r="42" spans="1:6" ht="24" customHeight="1" x14ac:dyDescent="0.25">
      <c r="A42" s="5">
        <v>33</v>
      </c>
      <c r="B42" s="6" t="s">
        <v>162</v>
      </c>
      <c r="C42" s="19" t="s">
        <v>207</v>
      </c>
      <c r="D42" s="7" t="str">
        <f>IF(AND('📋 Thông Tin'!$B$10="Web App",OR(C42="🟢 Bắt buộc",AND(C42="🟡 Nên có",OR('📋 Thông Tin'!$D$10="Phổ thông (🟢+🟡)",'📋 Thông Tin'!$D$10="Nâng cao (🟢+🟡+⚪)")),AND(C42="⚪ Tùy chọn",'📋 Thông Tin'!$D$10="Nâng cao (🟢+🟡+⚪)"))),"✓ Có","✗ Không")</f>
        <v>✗ Không</v>
      </c>
      <c r="E42" s="16">
        <f>IF(D42="✓ Có",VLOOKUP(B42,'Hệ Số'!B:C,2,FALSE),0)</f>
        <v>0</v>
      </c>
      <c r="F42" s="8" t="s">
        <v>163</v>
      </c>
    </row>
    <row r="43" spans="1:6" ht="26.1" customHeight="1" x14ac:dyDescent="0.25">
      <c r="A43" s="39" t="s">
        <v>164</v>
      </c>
      <c r="B43" s="39"/>
      <c r="C43" s="39"/>
      <c r="D43" s="39"/>
      <c r="E43" s="39"/>
      <c r="F43" s="39"/>
    </row>
    <row r="44" spans="1:6" ht="24" customHeight="1" x14ac:dyDescent="0.25">
      <c r="A44" s="9">
        <v>34</v>
      </c>
      <c r="B44" s="10" t="s">
        <v>165</v>
      </c>
      <c r="C44" s="15" t="s">
        <v>205</v>
      </c>
      <c r="D44" s="11" t="str">
        <f>IF(AND('📋 Thông Tin'!$B$10="Web App",OR(C44="🟢 Bắt buộc",AND(C44="🟡 Nên có",OR('📋 Thông Tin'!$D$10="Phổ thông (🟢+🟡)",'📋 Thông Tin'!$D$10="Nâng cao (🟢+🟡+⚪)")),AND(C44="⚪ Tùy chọn",'📋 Thông Tin'!$D$10="Nâng cao (🟢+🟡+⚪)"))),"✓ Có","✗ Không")</f>
        <v>✗ Không</v>
      </c>
      <c r="E44" s="18">
        <f>IF(D44="✓ Có",VLOOKUP(B44,'Hệ Số'!B:C,2,FALSE),0)</f>
        <v>0</v>
      </c>
      <c r="F44" s="12" t="s">
        <v>3</v>
      </c>
    </row>
    <row r="45" spans="1:6" ht="24" customHeight="1" x14ac:dyDescent="0.25">
      <c r="A45" s="5">
        <v>35</v>
      </c>
      <c r="B45" s="6" t="s">
        <v>166</v>
      </c>
      <c r="C45" s="19" t="s">
        <v>207</v>
      </c>
      <c r="D45" s="7" t="str">
        <f>IF(AND('📋 Thông Tin'!$B$10="Web App",OR(C45="🟢 Bắt buộc",AND(C45="🟡 Nên có",OR('📋 Thông Tin'!$D$10="Phổ thông (🟢+🟡)",'📋 Thông Tin'!$D$10="Nâng cao (🟢+🟡+⚪)")),AND(C45="⚪ Tùy chọn",'📋 Thông Tin'!$D$10="Nâng cao (🟢+🟡+⚪)"))),"✓ Có","✗ Không")</f>
        <v>✗ Không</v>
      </c>
      <c r="E45" s="16">
        <f>IF(D45="✓ Có",VLOOKUP(B45,'Hệ Số'!B:C,2,FALSE),0)</f>
        <v>0</v>
      </c>
      <c r="F45" s="8" t="s">
        <v>3</v>
      </c>
    </row>
    <row r="46" spans="1:6" ht="24" customHeight="1" x14ac:dyDescent="0.25">
      <c r="A46" s="9">
        <v>36</v>
      </c>
      <c r="B46" s="10" t="s">
        <v>167</v>
      </c>
      <c r="C46" s="17" t="s">
        <v>206</v>
      </c>
      <c r="D46" s="11" t="str">
        <f>IF(AND('📋 Thông Tin'!$B$10="Web App",OR(C46="🟢 Bắt buộc",AND(C46="🟡 Nên có",OR('📋 Thông Tin'!$D$10="Phổ thông (🟢+🟡)",'📋 Thông Tin'!$D$10="Nâng cao (🟢+🟡+⚪)")),AND(C46="⚪ Tùy chọn",'📋 Thông Tin'!$D$10="Nâng cao (🟢+🟡+⚪)"))),"✓ Có","✗ Không")</f>
        <v>✗ Không</v>
      </c>
      <c r="E46" s="18">
        <f>IF(D46="✓ Có",VLOOKUP(B46,'Hệ Số'!B:C,2,FALSE),0)</f>
        <v>0</v>
      </c>
      <c r="F46" s="12" t="s">
        <v>168</v>
      </c>
    </row>
    <row r="47" spans="1:6" ht="24" customHeight="1" x14ac:dyDescent="0.25">
      <c r="A47" s="5">
        <v>37</v>
      </c>
      <c r="B47" s="6" t="s">
        <v>169</v>
      </c>
      <c r="C47" s="20" t="s">
        <v>206</v>
      </c>
      <c r="D47" s="7" t="str">
        <f>IF(AND('📋 Thông Tin'!$B$10="Web App",OR(C47="🟢 Bắt buộc",AND(C47="🟡 Nên có",OR('📋 Thông Tin'!$D$10="Phổ thông (🟢+🟡)",'📋 Thông Tin'!$D$10="Nâng cao (🟢+🟡+⚪)")),AND(C47="⚪ Tùy chọn",'📋 Thông Tin'!$D$10="Nâng cao (🟢+🟡+⚪)"))),"✓ Có","✗ Không")</f>
        <v>✗ Không</v>
      </c>
      <c r="E47" s="16">
        <f>IF(D47="✓ Có",VLOOKUP(B47,'Hệ Số'!B:C,2,FALSE),0)</f>
        <v>0</v>
      </c>
      <c r="F47" s="8" t="s">
        <v>3</v>
      </c>
    </row>
    <row r="48" spans="1:6" ht="24" customHeight="1" x14ac:dyDescent="0.25">
      <c r="A48" s="9">
        <v>38</v>
      </c>
      <c r="B48" s="10" t="s">
        <v>170</v>
      </c>
      <c r="C48" s="19" t="s">
        <v>207</v>
      </c>
      <c r="D48" s="11" t="str">
        <f>IF(AND('📋 Thông Tin'!$B$10="Web App",OR(C48="🟢 Bắt buộc",AND(C48="🟡 Nên có",OR('📋 Thông Tin'!$D$10="Phổ thông (🟢+🟡)",'📋 Thông Tin'!$D$10="Nâng cao (🟢+🟡+⚪)")),AND(C48="⚪ Tùy chọn",'📋 Thông Tin'!$D$10="Nâng cao (🟢+🟡+⚪)"))),"✓ Có","✗ Không")</f>
        <v>✗ Không</v>
      </c>
      <c r="E48" s="18">
        <f>IF(D48="✓ Có",VLOOKUP(B48,'Hệ Số'!B:C,2,FALSE),0)</f>
        <v>0</v>
      </c>
      <c r="F48" s="12" t="s">
        <v>3</v>
      </c>
    </row>
    <row r="49" spans="1:6" ht="24" customHeight="1" x14ac:dyDescent="0.25">
      <c r="A49" s="5">
        <v>39</v>
      </c>
      <c r="B49" s="6" t="s">
        <v>171</v>
      </c>
      <c r="C49" s="20" t="s">
        <v>206</v>
      </c>
      <c r="D49" s="7" t="str">
        <f>IF(AND('📋 Thông Tin'!$B$10="Web App",OR(C49="🟢 Bắt buộc",AND(C49="🟡 Nên có",OR('📋 Thông Tin'!$D$10="Phổ thông (🟢+🟡)",'📋 Thông Tin'!$D$10="Nâng cao (🟢+🟡+⚪)")),AND(C49="⚪ Tùy chọn",'📋 Thông Tin'!$D$10="Nâng cao (🟢+🟡+⚪)"))),"✓ Có","✗ Không")</f>
        <v>✗ Không</v>
      </c>
      <c r="E49" s="16">
        <f>IF(D49="✓ Có",VLOOKUP(B49,'Hệ Số'!B:C,2,FALSE),0)</f>
        <v>0</v>
      </c>
      <c r="F49" s="8" t="s">
        <v>3</v>
      </c>
    </row>
    <row r="50" spans="1:6" ht="24" customHeight="1" x14ac:dyDescent="0.25">
      <c r="A50" s="9">
        <v>40</v>
      </c>
      <c r="B50" s="10" t="s">
        <v>172</v>
      </c>
      <c r="C50" s="15" t="s">
        <v>205</v>
      </c>
      <c r="D50" s="11" t="str">
        <f>IF(AND('📋 Thông Tin'!$B$10="Web App",OR(C50="🟢 Bắt buộc",AND(C50="🟡 Nên có",OR('📋 Thông Tin'!$D$10="Phổ thông (🟢+🟡)",'📋 Thông Tin'!$D$10="Nâng cao (🟢+🟡+⚪)")),AND(C50="⚪ Tùy chọn",'📋 Thông Tin'!$D$10="Nâng cao (🟢+🟡+⚪)"))),"✓ Có","✗ Không")</f>
        <v>✗ Không</v>
      </c>
      <c r="E50" s="18">
        <f>IF(D50="✓ Có",VLOOKUP(B50,'Hệ Số'!B:C,2,FALSE),0)</f>
        <v>0</v>
      </c>
      <c r="F50" s="12" t="s">
        <v>173</v>
      </c>
    </row>
    <row r="51" spans="1:6" ht="24" customHeight="1" x14ac:dyDescent="0.25">
      <c r="A51" s="5">
        <v>41</v>
      </c>
      <c r="B51" s="6" t="s">
        <v>174</v>
      </c>
      <c r="C51" s="19" t="s">
        <v>207</v>
      </c>
      <c r="D51" s="7" t="str">
        <f>IF(AND('📋 Thông Tin'!$B$10="Web App",OR(C51="🟢 Bắt buộc",AND(C51="🟡 Nên có",OR('📋 Thông Tin'!$D$10="Phổ thông (🟢+🟡)",'📋 Thông Tin'!$D$10="Nâng cao (🟢+🟡+⚪)")),AND(C51="⚪ Tùy chọn",'📋 Thông Tin'!$D$10="Nâng cao (🟢+🟡+⚪)"))),"✓ Có","✗ Không")</f>
        <v>✗ Không</v>
      </c>
      <c r="E51" s="16">
        <f>IF(D51="✓ Có",VLOOKUP(B51,'Hệ Số'!B:C,2,FALSE),0)</f>
        <v>0</v>
      </c>
      <c r="F51" s="8" t="s">
        <v>3</v>
      </c>
    </row>
    <row r="52" spans="1:6" ht="24" customHeight="1" x14ac:dyDescent="0.25">
      <c r="A52" s="9">
        <v>42</v>
      </c>
      <c r="B52" s="10" t="s">
        <v>175</v>
      </c>
      <c r="C52" s="17" t="s">
        <v>206</v>
      </c>
      <c r="D52" s="11" t="str">
        <f>IF(AND('📋 Thông Tin'!$B$10="Web App",OR(C52="🟢 Bắt buộc",AND(C52="🟡 Nên có",OR('📋 Thông Tin'!$D$10="Phổ thông (🟢+🟡)",'📋 Thông Tin'!$D$10="Nâng cao (🟢+🟡+⚪)")),AND(C52="⚪ Tùy chọn",'📋 Thông Tin'!$D$10="Nâng cao (🟢+🟡+⚪)"))),"✓ Có","✗ Không")</f>
        <v>✗ Không</v>
      </c>
      <c r="E52" s="18">
        <f>IF(D52="✓ Có",VLOOKUP(B52,'Hệ Số'!B:C,2,FALSE),0)</f>
        <v>0</v>
      </c>
      <c r="F52" s="12" t="s">
        <v>176</v>
      </c>
    </row>
    <row r="53" spans="1:6" ht="24" customHeight="1" x14ac:dyDescent="0.25">
      <c r="A53" s="5">
        <v>43</v>
      </c>
      <c r="B53" s="6" t="s">
        <v>177</v>
      </c>
      <c r="C53" s="19" t="s">
        <v>207</v>
      </c>
      <c r="D53" s="7" t="str">
        <f>IF(AND('📋 Thông Tin'!$B$10="Web App",OR(C53="🟢 Bắt buộc",AND(C53="🟡 Nên có",OR('📋 Thông Tin'!$D$10="Phổ thông (🟢+🟡)",'📋 Thông Tin'!$D$10="Nâng cao (🟢+🟡+⚪)")),AND(C53="⚪ Tùy chọn",'📋 Thông Tin'!$D$10="Nâng cao (🟢+🟡+⚪)"))),"✓ Có","✗ Không")</f>
        <v>✗ Không</v>
      </c>
      <c r="E53" s="16">
        <f>IF(D53="✓ Có",VLOOKUP(B53,'Hệ Số'!B:C,2,FALSE),0)</f>
        <v>0</v>
      </c>
      <c r="F53" s="8" t="s">
        <v>178</v>
      </c>
    </row>
    <row r="54" spans="1:6" ht="24" customHeight="1" x14ac:dyDescent="0.25">
      <c r="A54" s="9">
        <v>44</v>
      </c>
      <c r="B54" s="10" t="s">
        <v>179</v>
      </c>
      <c r="C54" s="17" t="s">
        <v>206</v>
      </c>
      <c r="D54" s="11" t="str">
        <f>IF(AND('📋 Thông Tin'!$B$10="Web App",OR(C54="🟢 Bắt buộc",AND(C54="🟡 Nên có",OR('📋 Thông Tin'!$D$10="Phổ thông (🟢+🟡)",'📋 Thông Tin'!$D$10="Nâng cao (🟢+🟡+⚪)")),AND(C54="⚪ Tùy chọn",'📋 Thông Tin'!$D$10="Nâng cao (🟢+🟡+⚪)"))),"✓ Có","✗ Không")</f>
        <v>✗ Không</v>
      </c>
      <c r="E54" s="18">
        <f>IF(D54="✓ Có",VLOOKUP(B54,'Hệ Số'!B:C,2,FALSE),0)</f>
        <v>0</v>
      </c>
      <c r="F54" s="12" t="s">
        <v>3</v>
      </c>
    </row>
    <row r="55" spans="1:6" ht="26.1" customHeight="1" x14ac:dyDescent="0.25">
      <c r="A55" s="39" t="s">
        <v>180</v>
      </c>
      <c r="B55" s="39"/>
      <c r="C55" s="39"/>
      <c r="D55" s="39"/>
      <c r="E55" s="39"/>
      <c r="F55" s="39"/>
    </row>
    <row r="56" spans="1:6" ht="24" customHeight="1" x14ac:dyDescent="0.25">
      <c r="A56" s="5">
        <v>45</v>
      </c>
      <c r="B56" s="6" t="s">
        <v>181</v>
      </c>
      <c r="C56" s="20" t="s">
        <v>206</v>
      </c>
      <c r="D56" s="7" t="str">
        <f>IF(AND('📋 Thông Tin'!$B$10="Web App",OR(C56="🟢 Bắt buộc",AND(C56="🟡 Nên có",OR('📋 Thông Tin'!$D$10="Phổ thông (🟢+🟡)",'📋 Thông Tin'!$D$10="Nâng cao (🟢+🟡+⚪)")),AND(C56="⚪ Tùy chọn",'📋 Thông Tin'!$D$10="Nâng cao (🟢+🟡+⚪)"))),"✓ Có","✗ Không")</f>
        <v>✗ Không</v>
      </c>
      <c r="E56" s="16">
        <f>IF(D56="✓ Có",VLOOKUP(B56,'Hệ Số'!B:C,2,FALSE),0)</f>
        <v>0</v>
      </c>
      <c r="F56" s="8" t="s">
        <v>182</v>
      </c>
    </row>
    <row r="57" spans="1:6" ht="24" customHeight="1" x14ac:dyDescent="0.25">
      <c r="A57" s="9">
        <v>46</v>
      </c>
      <c r="B57" s="10" t="s">
        <v>183</v>
      </c>
      <c r="C57" s="17" t="s">
        <v>206</v>
      </c>
      <c r="D57" s="11" t="str">
        <f>IF(AND('📋 Thông Tin'!$B$10="Web App",OR(C57="🟢 Bắt buộc",AND(C57="🟡 Nên có",OR('📋 Thông Tin'!$D$10="Phổ thông (🟢+🟡)",'📋 Thông Tin'!$D$10="Nâng cao (🟢+🟡+⚪)")),AND(C57="⚪ Tùy chọn",'📋 Thông Tin'!$D$10="Nâng cao (🟢+🟡+⚪)"))),"✓ Có","✗ Không")</f>
        <v>✗ Không</v>
      </c>
      <c r="E57" s="18">
        <f>IF(D57="✓ Có",VLOOKUP(B57,'Hệ Số'!B:C,2,FALSE),0)</f>
        <v>0</v>
      </c>
      <c r="F57" s="12" t="s">
        <v>3</v>
      </c>
    </row>
    <row r="58" spans="1:6" ht="24" customHeight="1" x14ac:dyDescent="0.25">
      <c r="A58" s="5">
        <v>47</v>
      </c>
      <c r="B58" s="6" t="s">
        <v>184</v>
      </c>
      <c r="C58" s="20" t="s">
        <v>206</v>
      </c>
      <c r="D58" s="7" t="str">
        <f>IF(AND('📋 Thông Tin'!$B$10="Web App",OR(C58="🟢 Bắt buộc",AND(C58="🟡 Nên có",OR('📋 Thông Tin'!$D$10="Phổ thông (🟢+🟡)",'📋 Thông Tin'!$D$10="Nâng cao (🟢+🟡+⚪)")),AND(C58="⚪ Tùy chọn",'📋 Thông Tin'!$D$10="Nâng cao (🟢+🟡+⚪)"))),"✓ Có","✗ Không")</f>
        <v>✗ Không</v>
      </c>
      <c r="E58" s="16">
        <f>IF(D58="✓ Có",VLOOKUP(B58,'Hệ Số'!B:C,2,FALSE),0)</f>
        <v>0</v>
      </c>
      <c r="F58" s="8" t="s">
        <v>185</v>
      </c>
    </row>
    <row r="59" spans="1:6" ht="24" customHeight="1" x14ac:dyDescent="0.25">
      <c r="A59" s="9">
        <v>48</v>
      </c>
      <c r="B59" s="10" t="s">
        <v>186</v>
      </c>
      <c r="C59" s="17" t="s">
        <v>206</v>
      </c>
      <c r="D59" s="11" t="str">
        <f>IF(AND('📋 Thông Tin'!$B$10="Web App",OR(C59="🟢 Bắt buộc",AND(C59="🟡 Nên có",OR('📋 Thông Tin'!$D$10="Phổ thông (🟢+🟡)",'📋 Thông Tin'!$D$10="Nâng cao (🟢+🟡+⚪)")),AND(C59="⚪ Tùy chọn",'📋 Thông Tin'!$D$10="Nâng cao (🟢+🟡+⚪)"))),"✓ Có","✗ Không")</f>
        <v>✗ Không</v>
      </c>
      <c r="E59" s="18">
        <f>IF(D59="✓ Có",VLOOKUP(B59,'Hệ Số'!B:C,2,FALSE),0)</f>
        <v>0</v>
      </c>
      <c r="F59" s="12" t="s">
        <v>187</v>
      </c>
    </row>
    <row r="60" spans="1:6" ht="24" customHeight="1" x14ac:dyDescent="0.25">
      <c r="A60" s="5">
        <v>49</v>
      </c>
      <c r="B60" s="6" t="s">
        <v>188</v>
      </c>
      <c r="C60" s="20" t="s">
        <v>206</v>
      </c>
      <c r="D60" s="7" t="str">
        <f>IF(AND('📋 Thông Tin'!$B$10="Web App",OR(C60="🟢 Bắt buộc",AND(C60="🟡 Nên có",OR('📋 Thông Tin'!$D$10="Phổ thông (🟢+🟡)",'📋 Thông Tin'!$D$10="Nâng cao (🟢+🟡+⚪)")),AND(C60="⚪ Tùy chọn",'📋 Thông Tin'!$D$10="Nâng cao (🟢+🟡+⚪)"))),"✓ Có","✗ Không")</f>
        <v>✗ Không</v>
      </c>
      <c r="E60" s="16">
        <f>IF(D60="✓ Có",VLOOKUP(B60,'Hệ Số'!B:C,2,FALSE),0)</f>
        <v>0</v>
      </c>
      <c r="F60" s="8" t="s">
        <v>189</v>
      </c>
    </row>
    <row r="61" spans="1:6" ht="24" customHeight="1" x14ac:dyDescent="0.25">
      <c r="A61" s="9">
        <v>50</v>
      </c>
      <c r="B61" s="10" t="s">
        <v>190</v>
      </c>
      <c r="C61" s="17" t="s">
        <v>206</v>
      </c>
      <c r="D61" s="11" t="str">
        <f>IF(AND('📋 Thông Tin'!$B$10="Web App",OR(C61="🟢 Bắt buộc",AND(C61="🟡 Nên có",OR('📋 Thông Tin'!$D$10="Phổ thông (🟢+🟡)",'📋 Thông Tin'!$D$10="Nâng cao (🟢+🟡+⚪)")),AND(C61="⚪ Tùy chọn",'📋 Thông Tin'!$D$10="Nâng cao (🟢+🟡+⚪)"))),"✓ Có","✗ Không")</f>
        <v>✗ Không</v>
      </c>
      <c r="E61" s="18">
        <f>IF(D61="✓ Có",VLOOKUP(B61,'Hệ Số'!B:C,2,FALSE),0)</f>
        <v>0</v>
      </c>
      <c r="F61" s="12" t="s">
        <v>3</v>
      </c>
    </row>
    <row r="62" spans="1:6" ht="24" customHeight="1" x14ac:dyDescent="0.25">
      <c r="A62" s="5">
        <v>51</v>
      </c>
      <c r="B62" s="6" t="s">
        <v>191</v>
      </c>
      <c r="C62" s="20" t="s">
        <v>206</v>
      </c>
      <c r="D62" s="7" t="str">
        <f>IF(AND('📋 Thông Tin'!$B$10="Web App",OR(C62="🟢 Bắt buộc",AND(C62="🟡 Nên có",OR('📋 Thông Tin'!$D$10="Phổ thông (🟢+🟡)",'📋 Thông Tin'!$D$10="Nâng cao (🟢+🟡+⚪)")),AND(C62="⚪ Tùy chọn",'📋 Thông Tin'!$D$10="Nâng cao (🟢+🟡+⚪)"))),"✓ Có","✗ Không")</f>
        <v>✗ Không</v>
      </c>
      <c r="E62" s="16">
        <f>IF(D62="✓ Có",VLOOKUP(B62,'Hệ Số'!B:C,2,FALSE),0)</f>
        <v>0</v>
      </c>
      <c r="F62" s="8" t="s">
        <v>192</v>
      </c>
    </row>
    <row r="63" spans="1:6" ht="24" customHeight="1" x14ac:dyDescent="0.25">
      <c r="A63" s="9">
        <v>52</v>
      </c>
      <c r="B63" s="10" t="s">
        <v>193</v>
      </c>
      <c r="C63" s="17" t="s">
        <v>206</v>
      </c>
      <c r="D63" s="11" t="str">
        <f>IF(AND('📋 Thông Tin'!$B$10="Web App",OR(C63="🟢 Bắt buộc",AND(C63="🟡 Nên có",OR('📋 Thông Tin'!$D$10="Phổ thông (🟢+🟡)",'📋 Thông Tin'!$D$10="Nâng cao (🟢+🟡+⚪)")),AND(C63="⚪ Tùy chọn",'📋 Thông Tin'!$D$10="Nâng cao (🟢+🟡+⚪)"))),"✓ Có","✗ Không")</f>
        <v>✗ Không</v>
      </c>
      <c r="E63" s="18">
        <f>IF(D63="✓ Có",VLOOKUP(B63,'Hệ Số'!B:C,2,FALSE),0)</f>
        <v>0</v>
      </c>
      <c r="F63" s="12" t="s">
        <v>3</v>
      </c>
    </row>
    <row r="64" spans="1:6" ht="24" customHeight="1" x14ac:dyDescent="0.25">
      <c r="A64" s="5">
        <v>53</v>
      </c>
      <c r="B64" s="6" t="s">
        <v>194</v>
      </c>
      <c r="C64" s="20" t="s">
        <v>206</v>
      </c>
      <c r="D64" s="7" t="str">
        <f>IF(AND('📋 Thông Tin'!$B$10="Web App",OR(C64="🟢 Bắt buộc",AND(C64="🟡 Nên có",OR('📋 Thông Tin'!$D$10="Phổ thông (🟢+🟡)",'📋 Thông Tin'!$D$10="Nâng cao (🟢+🟡+⚪)")),AND(C64="⚪ Tùy chọn",'📋 Thông Tin'!$D$10="Nâng cao (🟢+🟡+⚪)"))),"✓ Có","✗ Không")</f>
        <v>✗ Không</v>
      </c>
      <c r="E64" s="16">
        <f>IF(D64="✓ Có",VLOOKUP(B64,'Hệ Số'!B:C,2,FALSE),0)</f>
        <v>0</v>
      </c>
      <c r="F64" s="8" t="s">
        <v>3</v>
      </c>
    </row>
    <row r="65" spans="1:6" ht="24" customHeight="1" x14ac:dyDescent="0.25">
      <c r="A65" s="9">
        <v>54</v>
      </c>
      <c r="B65" s="10" t="s">
        <v>195</v>
      </c>
      <c r="C65" s="17" t="s">
        <v>206</v>
      </c>
      <c r="D65" s="11" t="str">
        <f>IF(AND('📋 Thông Tin'!$B$10="Web App",OR(C65="🟢 Bắt buộc",AND(C65="🟡 Nên có",OR('📋 Thông Tin'!$D$10="Phổ thông (🟢+🟡)",'📋 Thông Tin'!$D$10="Nâng cao (🟢+🟡+⚪)")),AND(C65="⚪ Tùy chọn",'📋 Thông Tin'!$D$10="Nâng cao (🟢+🟡+⚪)"))),"✓ Có","✗ Không")</f>
        <v>✗ Không</v>
      </c>
      <c r="E65" s="18">
        <f>IF(D65="✓ Có",VLOOKUP(B65,'Hệ Số'!B:C,2,FALSE),0)</f>
        <v>0</v>
      </c>
      <c r="F65" s="12" t="s">
        <v>3</v>
      </c>
    </row>
    <row r="66" spans="1:6" ht="26.1" customHeight="1" x14ac:dyDescent="0.25">
      <c r="A66" s="39" t="s">
        <v>196</v>
      </c>
      <c r="B66" s="39"/>
      <c r="C66" s="39"/>
      <c r="D66" s="39"/>
      <c r="E66" s="39"/>
      <c r="F66" s="39"/>
    </row>
    <row r="67" spans="1:6" ht="24" customHeight="1" x14ac:dyDescent="0.25">
      <c r="A67" s="5">
        <v>55</v>
      </c>
      <c r="B67" s="6" t="s">
        <v>197</v>
      </c>
      <c r="C67" s="20" t="s">
        <v>206</v>
      </c>
      <c r="D67" s="7" t="str">
        <f>IF(AND('📋 Thông Tin'!$B$10="Web App",OR(C67="🟢 Bắt buộc",AND(C67="🟡 Nên có",OR('📋 Thông Tin'!$D$10="Phổ thông (🟢+🟡)",'📋 Thông Tin'!$D$10="Nâng cao (🟢+🟡+⚪)")),AND(C67="⚪ Tùy chọn",'📋 Thông Tin'!$D$10="Nâng cao (🟢+🟡+⚪)"))),"✓ Có","✗ Không")</f>
        <v>✗ Không</v>
      </c>
      <c r="E67" s="16">
        <f>IF(D67="✓ Có",VLOOKUP(B67,'Hệ Số'!B:C,2,FALSE),0)</f>
        <v>0</v>
      </c>
      <c r="F67" s="8" t="s">
        <v>198</v>
      </c>
    </row>
    <row r="68" spans="1:6" ht="24" customHeight="1" x14ac:dyDescent="0.25">
      <c r="A68" s="9">
        <v>56</v>
      </c>
      <c r="B68" s="10" t="s">
        <v>199</v>
      </c>
      <c r="C68" s="17" t="s">
        <v>206</v>
      </c>
      <c r="D68" s="11" t="str">
        <f>IF(AND('📋 Thông Tin'!$B$10="Web App",OR(C68="🟢 Bắt buộc",AND(C68="🟡 Nên có",OR('📋 Thông Tin'!$D$10="Phổ thông (🟢+🟡)",'📋 Thông Tin'!$D$10="Nâng cao (🟢+🟡+⚪)")),AND(C68="⚪ Tùy chọn",'📋 Thông Tin'!$D$10="Nâng cao (🟢+🟡+⚪)"))),"✓ Có","✗ Không")</f>
        <v>✗ Không</v>
      </c>
      <c r="E68" s="18">
        <f>IF(D68="✓ Có",VLOOKUP(B68,'Hệ Số'!B:C,2,FALSE),0)</f>
        <v>0</v>
      </c>
      <c r="F68" s="12" t="s">
        <v>3</v>
      </c>
    </row>
    <row r="69" spans="1:6" ht="24" customHeight="1" x14ac:dyDescent="0.25">
      <c r="A69" s="5">
        <v>57</v>
      </c>
      <c r="B69" s="6" t="s">
        <v>200</v>
      </c>
      <c r="C69" s="20" t="s">
        <v>206</v>
      </c>
      <c r="D69" s="7" t="str">
        <f>IF(AND('📋 Thông Tin'!$B$10="Web App",OR(C69="🟢 Bắt buộc",AND(C69="🟡 Nên có",OR('📋 Thông Tin'!$D$10="Phổ thông (🟢+🟡)",'📋 Thông Tin'!$D$10="Nâng cao (🟢+🟡+⚪)")),AND(C69="⚪ Tùy chọn",'📋 Thông Tin'!$D$10="Nâng cao (🟢+🟡+⚪)"))),"✓ Có","✗ Không")</f>
        <v>✗ Không</v>
      </c>
      <c r="E69" s="16">
        <f>IF(D69="✓ Có",VLOOKUP(B69,'Hệ Số'!B:C,2,FALSE),0)</f>
        <v>0</v>
      </c>
      <c r="F69" s="8" t="s">
        <v>3</v>
      </c>
    </row>
    <row r="70" spans="1:6" ht="24" customHeight="1" x14ac:dyDescent="0.25">
      <c r="A70" s="9">
        <v>58</v>
      </c>
      <c r="B70" s="10" t="s">
        <v>201</v>
      </c>
      <c r="C70" s="17" t="s">
        <v>206</v>
      </c>
      <c r="D70" s="11" t="str">
        <f>IF(AND('📋 Thông Tin'!$B$10="Web App",OR(C70="🟢 Bắt buộc",AND(C70="🟡 Nên có",OR('📋 Thông Tin'!$D$10="Phổ thông (🟢+🟡)",'📋 Thông Tin'!$D$10="Nâng cao (🟢+🟡+⚪)")),AND(C70="⚪ Tùy chọn",'📋 Thông Tin'!$D$10="Nâng cao (🟢+🟡+⚪)"))),"✓ Có","✗ Không")</f>
        <v>✗ Không</v>
      </c>
      <c r="E70" s="18">
        <f>IF(D70="✓ Có",VLOOKUP(B70,'Hệ Số'!B:C,2,FALSE),0)</f>
        <v>0</v>
      </c>
      <c r="F70" s="12" t="s">
        <v>3</v>
      </c>
    </row>
    <row r="73" spans="1:6" ht="32.1" customHeight="1" x14ac:dyDescent="0.25">
      <c r="A73" s="35" t="s">
        <v>208</v>
      </c>
      <c r="B73" s="35"/>
      <c r="C73" s="35"/>
      <c r="D73" s="35"/>
      <c r="E73" s="35"/>
      <c r="F73" s="35"/>
    </row>
    <row r="74" spans="1:6" ht="30" customHeight="1" x14ac:dyDescent="0.25">
      <c r="A74" s="46" t="s">
        <v>209</v>
      </c>
      <c r="B74" s="46"/>
      <c r="C74" s="21"/>
      <c r="D74" s="21"/>
      <c r="E74" s="47">
        <f>SUM(E5:E70)</f>
        <v>0</v>
      </c>
      <c r="F74" s="47"/>
    </row>
    <row r="75" spans="1:6" ht="30" customHeight="1" x14ac:dyDescent="0.25">
      <c r="A75" s="46" t="s">
        <v>210</v>
      </c>
      <c r="B75" s="46"/>
      <c r="C75" s="21"/>
      <c r="D75" s="21"/>
      <c r="E75" s="47">
        <f>E74*1.5</f>
        <v>0</v>
      </c>
      <c r="F75" s="47"/>
    </row>
    <row r="76" spans="1:6" ht="30" customHeight="1" x14ac:dyDescent="0.25">
      <c r="A76" s="46" t="s">
        <v>211</v>
      </c>
      <c r="B76" s="46"/>
      <c r="C76" s="21"/>
      <c r="D76" s="21"/>
      <c r="E76" s="47">
        <f>CEILING(E75/8,1)</f>
        <v>0</v>
      </c>
      <c r="F76" s="47"/>
    </row>
    <row r="77" spans="1:6" ht="30" customHeight="1" x14ac:dyDescent="0.25">
      <c r="A77" s="42" t="s">
        <v>212</v>
      </c>
      <c r="B77" s="42"/>
      <c r="C77" s="22"/>
      <c r="D77" s="22"/>
      <c r="E77" s="43">
        <f>E76*1000000</f>
        <v>0</v>
      </c>
      <c r="F77" s="43"/>
    </row>
    <row r="79" spans="1:6" ht="26.1" customHeight="1" x14ac:dyDescent="0.25">
      <c r="A79" s="44" t="s">
        <v>213</v>
      </c>
      <c r="B79" s="44"/>
      <c r="C79" s="23"/>
      <c r="D79" s="23"/>
      <c r="E79" s="45">
        <f>E77*0.4</f>
        <v>0</v>
      </c>
      <c r="F79" s="45"/>
    </row>
    <row r="80" spans="1:6" ht="26.1" customHeight="1" x14ac:dyDescent="0.25">
      <c r="A80" s="44" t="s">
        <v>214</v>
      </c>
      <c r="B80" s="44"/>
      <c r="C80" s="23"/>
      <c r="D80" s="23"/>
      <c r="E80" s="45">
        <f>E77*0.6</f>
        <v>0</v>
      </c>
      <c r="F80" s="45"/>
    </row>
    <row r="82" spans="1:6" ht="24" customHeight="1" x14ac:dyDescent="0.25">
      <c r="A82" s="41" t="s">
        <v>215</v>
      </c>
      <c r="B82" s="41"/>
      <c r="C82" s="41"/>
      <c r="D82" s="41"/>
      <c r="E82" s="41"/>
      <c r="F82" s="41"/>
    </row>
  </sheetData>
  <mergeCells count="24">
    <mergeCell ref="A1:F1"/>
    <mergeCell ref="A4:F4"/>
    <mergeCell ref="A13:F13"/>
    <mergeCell ref="A22:F22"/>
    <mergeCell ref="A27:F27"/>
    <mergeCell ref="A33:F33"/>
    <mergeCell ref="A37:F37"/>
    <mergeCell ref="A43:F43"/>
    <mergeCell ref="A55:F55"/>
    <mergeCell ref="A66:F66"/>
    <mergeCell ref="A73:F73"/>
    <mergeCell ref="A74:B74"/>
    <mergeCell ref="E74:F74"/>
    <mergeCell ref="A75:B75"/>
    <mergeCell ref="E75:F75"/>
    <mergeCell ref="A80:B80"/>
    <mergeCell ref="E80:F80"/>
    <mergeCell ref="A82:F82"/>
    <mergeCell ref="A76:B76"/>
    <mergeCell ref="E76:F76"/>
    <mergeCell ref="A77:B77"/>
    <mergeCell ref="E77:F77"/>
    <mergeCell ref="A79:B79"/>
    <mergeCell ref="E79:F79"/>
  </mergeCells>
  <pageMargins left="0.7" right="0.7" top="0.75" bottom="0.75" header="0.3" footer="0.3"/>
  <pageSetup paperSize="9" orientation="landscape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2E0AA"/>
    <pageSetUpPr fitToPage="1"/>
  </sheetPr>
  <dimension ref="A1:F85"/>
  <sheetViews>
    <sheetView workbookViewId="0">
      <selection sqref="A1:F1"/>
    </sheetView>
  </sheetViews>
  <sheetFormatPr defaultRowHeight="15" x14ac:dyDescent="0.25"/>
  <cols>
    <col min="1" max="1" width="5" customWidth="1"/>
    <col min="2" max="2" width="38" customWidth="1"/>
    <col min="3" max="3" width="14" customWidth="1"/>
    <col min="4" max="4" width="12" customWidth="1"/>
    <col min="5" max="5" width="10" customWidth="1"/>
    <col min="6" max="6" width="28" customWidth="1"/>
  </cols>
  <sheetData>
    <row r="1" spans="1:6" ht="36" customHeight="1" x14ac:dyDescent="0.25">
      <c r="A1" s="40" t="s">
        <v>220</v>
      </c>
      <c r="B1" s="40"/>
      <c r="C1" s="40"/>
      <c r="D1" s="40"/>
      <c r="E1" s="40"/>
      <c r="F1" s="40"/>
    </row>
    <row r="3" spans="1:6" ht="26.1" customHeight="1" x14ac:dyDescent="0.25">
      <c r="A3" s="4" t="s">
        <v>15</v>
      </c>
      <c r="B3" s="4" t="s">
        <v>88</v>
      </c>
      <c r="C3" s="4" t="s">
        <v>203</v>
      </c>
      <c r="D3" s="4" t="s">
        <v>204</v>
      </c>
      <c r="E3" s="4" t="s">
        <v>89</v>
      </c>
      <c r="F3" s="4" t="s">
        <v>90</v>
      </c>
    </row>
    <row r="4" spans="1:6" ht="26.1" customHeight="1" x14ac:dyDescent="0.25">
      <c r="A4" s="39" t="s">
        <v>91</v>
      </c>
      <c r="B4" s="39"/>
      <c r="C4" s="39"/>
      <c r="D4" s="39"/>
      <c r="E4" s="39"/>
      <c r="F4" s="39"/>
    </row>
    <row r="5" spans="1:6" ht="24" customHeight="1" x14ac:dyDescent="0.25">
      <c r="A5" s="5">
        <v>1</v>
      </c>
      <c r="B5" s="6" t="s">
        <v>92</v>
      </c>
      <c r="C5" s="15" t="s">
        <v>205</v>
      </c>
      <c r="D5" s="7" t="str">
        <f>IF(AND('📋 Thông Tin'!$B$10="Booking",OR(C5="🟢 Bắt buộc",AND(C5="🟡 Nên có",OR('📋 Thông Tin'!$D$10="Phổ thông (🟢+🟡)",'📋 Thông Tin'!$D$10="Nâng cao (🟢+🟡+⚪)")),AND(C5="⚪ Tùy chọn",'📋 Thông Tin'!$D$10="Nâng cao (🟢+🟡+⚪)"))),"✓ Có","✗ Không")</f>
        <v>✗ Không</v>
      </c>
      <c r="E5" s="16">
        <f>IF(D5="✓ Có",VLOOKUP(B5,'Hệ Số'!B:C,2,FALSE),0)</f>
        <v>0</v>
      </c>
      <c r="F5" s="8" t="s">
        <v>3</v>
      </c>
    </row>
    <row r="6" spans="1:6" ht="24" customHeight="1" x14ac:dyDescent="0.25">
      <c r="A6" s="9">
        <v>2</v>
      </c>
      <c r="B6" s="10" t="s">
        <v>93</v>
      </c>
      <c r="C6" s="19" t="s">
        <v>207</v>
      </c>
      <c r="D6" s="11" t="str">
        <f>IF(AND('📋 Thông Tin'!$B$10="Booking",OR(C6="🟢 Bắt buộc",AND(C6="🟡 Nên có",OR('📋 Thông Tin'!$D$10="Phổ thông (🟢+🟡)",'📋 Thông Tin'!$D$10="Nâng cao (🟢+🟡+⚪)")),AND(C6="⚪ Tùy chọn",'📋 Thông Tin'!$D$10="Nâng cao (🟢+🟡+⚪)"))),"✓ Có","✗ Không")</f>
        <v>✗ Không</v>
      </c>
      <c r="E6" s="18">
        <f>IF(D6="✓ Có",VLOOKUP(B6,'Hệ Số'!B:C,2,FALSE),0)</f>
        <v>0</v>
      </c>
      <c r="F6" s="12" t="s">
        <v>3</v>
      </c>
    </row>
    <row r="7" spans="1:6" ht="24" customHeight="1" x14ac:dyDescent="0.25">
      <c r="A7" s="5">
        <v>3</v>
      </c>
      <c r="B7" s="6" t="s">
        <v>94</v>
      </c>
      <c r="C7" s="15" t="s">
        <v>205</v>
      </c>
      <c r="D7" s="7" t="str">
        <f>IF(AND('📋 Thông Tin'!$B$10="Booking",OR(C7="🟢 Bắt buộc",AND(C7="🟡 Nên có",OR('📋 Thông Tin'!$D$10="Phổ thông (🟢+🟡)",'📋 Thông Tin'!$D$10="Nâng cao (🟢+🟡+⚪)")),AND(C7="⚪ Tùy chọn",'📋 Thông Tin'!$D$10="Nâng cao (🟢+🟡+⚪)"))),"✓ Có","✗ Không")</f>
        <v>✗ Không</v>
      </c>
      <c r="E7" s="16">
        <f>IF(D7="✓ Có",VLOOKUP(B7,'Hệ Số'!B:C,2,FALSE),0)</f>
        <v>0</v>
      </c>
      <c r="F7" s="8" t="s">
        <v>3</v>
      </c>
    </row>
    <row r="8" spans="1:6" ht="24" customHeight="1" x14ac:dyDescent="0.25">
      <c r="A8" s="9">
        <v>4</v>
      </c>
      <c r="B8" s="10" t="s">
        <v>95</v>
      </c>
      <c r="C8" s="15" t="s">
        <v>205</v>
      </c>
      <c r="D8" s="11" t="str">
        <f>IF(AND('📋 Thông Tin'!$B$10="Booking",OR(C8="🟢 Bắt buộc",AND(C8="🟡 Nên có",OR('📋 Thông Tin'!$D$10="Phổ thông (🟢+🟡)",'📋 Thông Tin'!$D$10="Nâng cao (🟢+🟡+⚪)")),AND(C8="⚪ Tùy chọn",'📋 Thông Tin'!$D$10="Nâng cao (🟢+🟡+⚪)"))),"✓ Có","✗ Không")</f>
        <v>✗ Không</v>
      </c>
      <c r="E8" s="18">
        <f>IF(D8="✓ Có",VLOOKUP(B8,'Hệ Số'!B:C,2,FALSE),0)</f>
        <v>0</v>
      </c>
      <c r="F8" s="12" t="s">
        <v>3</v>
      </c>
    </row>
    <row r="9" spans="1:6" ht="24" customHeight="1" x14ac:dyDescent="0.25">
      <c r="A9" s="5">
        <v>5</v>
      </c>
      <c r="B9" s="6" t="s">
        <v>96</v>
      </c>
      <c r="C9" s="15" t="s">
        <v>205</v>
      </c>
      <c r="D9" s="7" t="str">
        <f>IF(AND('📋 Thông Tin'!$B$10="Booking",OR(C9="🟢 Bắt buộc",AND(C9="🟡 Nên có",OR('📋 Thông Tin'!$D$10="Phổ thông (🟢+🟡)",'📋 Thông Tin'!$D$10="Nâng cao (🟢+🟡+⚪)")),AND(C9="⚪ Tùy chọn",'📋 Thông Tin'!$D$10="Nâng cao (🟢+🟡+⚪)"))),"✓ Có","✗ Không")</f>
        <v>✗ Không</v>
      </c>
      <c r="E9" s="16">
        <f>IF(D9="✓ Có",VLOOKUP(B9,'Hệ Số'!B:C,2,FALSE),0)</f>
        <v>0</v>
      </c>
      <c r="F9" s="8" t="s">
        <v>97</v>
      </c>
    </row>
    <row r="10" spans="1:6" ht="24" customHeight="1" x14ac:dyDescent="0.25">
      <c r="A10" s="9">
        <v>6</v>
      </c>
      <c r="B10" s="10" t="s">
        <v>98</v>
      </c>
      <c r="C10" s="19" t="s">
        <v>207</v>
      </c>
      <c r="D10" s="11" t="str">
        <f>IF(AND('📋 Thông Tin'!$B$10="Booking",OR(C10="🟢 Bắt buộc",AND(C10="🟡 Nên có",OR('📋 Thông Tin'!$D$10="Phổ thông (🟢+🟡)",'📋 Thông Tin'!$D$10="Nâng cao (🟢+🟡+⚪)")),AND(C10="⚪ Tùy chọn",'📋 Thông Tin'!$D$10="Nâng cao (🟢+🟡+⚪)"))),"✓ Có","✗ Không")</f>
        <v>✗ Không</v>
      </c>
      <c r="E10" s="18">
        <f>IF(D10="✓ Có",VLOOKUP(B10,'Hệ Số'!B:C,2,FALSE),0)</f>
        <v>0</v>
      </c>
      <c r="F10" s="12" t="s">
        <v>3</v>
      </c>
    </row>
    <row r="11" spans="1:6" ht="24" customHeight="1" x14ac:dyDescent="0.25">
      <c r="A11" s="5">
        <v>7</v>
      </c>
      <c r="B11" s="6" t="s">
        <v>99</v>
      </c>
      <c r="C11" s="19" t="s">
        <v>207</v>
      </c>
      <c r="D11" s="7" t="str">
        <f>IF(AND('📋 Thông Tin'!$B$10="Booking",OR(C11="🟢 Bắt buộc",AND(C11="🟡 Nên có",OR('📋 Thông Tin'!$D$10="Phổ thông (🟢+🟡)",'📋 Thông Tin'!$D$10="Nâng cao (🟢+🟡+⚪)")),AND(C11="⚪ Tùy chọn",'📋 Thông Tin'!$D$10="Nâng cao (🟢+🟡+⚪)"))),"✓ Có","✗ Không")</f>
        <v>✗ Không</v>
      </c>
      <c r="E11" s="16">
        <f>IF(D11="✓ Có",VLOOKUP(B11,'Hệ Số'!B:C,2,FALSE),0)</f>
        <v>0</v>
      </c>
      <c r="F11" s="8" t="s">
        <v>100</v>
      </c>
    </row>
    <row r="12" spans="1:6" ht="24" customHeight="1" x14ac:dyDescent="0.25">
      <c r="A12" s="9">
        <v>8</v>
      </c>
      <c r="B12" s="10" t="s">
        <v>101</v>
      </c>
      <c r="C12" s="19" t="s">
        <v>207</v>
      </c>
      <c r="D12" s="11" t="str">
        <f>IF(AND('📋 Thông Tin'!$B$10="Booking",OR(C12="🟢 Bắt buộc",AND(C12="🟡 Nên có",OR('📋 Thông Tin'!$D$10="Phổ thông (🟢+🟡)",'📋 Thông Tin'!$D$10="Nâng cao (🟢+🟡+⚪)")),AND(C12="⚪ Tùy chọn",'📋 Thông Tin'!$D$10="Nâng cao (🟢+🟡+⚪)"))),"✓ Có","✗ Không")</f>
        <v>✗ Không</v>
      </c>
      <c r="E12" s="18">
        <f>IF(D12="✓ Có",VLOOKUP(B12,'Hệ Số'!B:C,2,FALSE),0)</f>
        <v>0</v>
      </c>
      <c r="F12" s="12" t="s">
        <v>3</v>
      </c>
    </row>
    <row r="13" spans="1:6" ht="24" customHeight="1" x14ac:dyDescent="0.25">
      <c r="A13" s="5">
        <v>9</v>
      </c>
      <c r="B13" s="6" t="s">
        <v>102</v>
      </c>
      <c r="C13" s="19" t="s">
        <v>207</v>
      </c>
      <c r="D13" s="7" t="str">
        <f>IF(AND('📋 Thông Tin'!$B$10="Booking",OR(C13="🟢 Bắt buộc",AND(C13="🟡 Nên có",OR('📋 Thông Tin'!$D$10="Phổ thông (🟢+🟡)",'📋 Thông Tin'!$D$10="Nâng cao (🟢+🟡+⚪)")),AND(C13="⚪ Tùy chọn",'📋 Thông Tin'!$D$10="Nâng cao (🟢+🟡+⚪)"))),"✓ Có","✗ Không")</f>
        <v>✗ Không</v>
      </c>
      <c r="E13" s="16">
        <f>IF(D13="✓ Có",VLOOKUP(B13,'Hệ Số'!B:C,2,FALSE),0)</f>
        <v>0</v>
      </c>
      <c r="F13" s="8" t="s">
        <v>103</v>
      </c>
    </row>
    <row r="14" spans="1:6" ht="26.1" customHeight="1" x14ac:dyDescent="0.25">
      <c r="A14" s="39" t="s">
        <v>104</v>
      </c>
      <c r="B14" s="39"/>
      <c r="C14" s="39"/>
      <c r="D14" s="39"/>
      <c r="E14" s="39"/>
      <c r="F14" s="39"/>
    </row>
    <row r="15" spans="1:6" ht="24" customHeight="1" x14ac:dyDescent="0.25">
      <c r="A15" s="9">
        <v>10</v>
      </c>
      <c r="B15" s="10" t="s">
        <v>105</v>
      </c>
      <c r="C15" s="15" t="s">
        <v>205</v>
      </c>
      <c r="D15" s="11" t="str">
        <f>IF(AND('📋 Thông Tin'!$B$10="Booking",OR(C15="🟢 Bắt buộc",AND(C15="🟡 Nên có",OR('📋 Thông Tin'!$D$10="Phổ thông (🟢+🟡)",'📋 Thông Tin'!$D$10="Nâng cao (🟢+🟡+⚪)")),AND(C15="⚪ Tùy chọn",'📋 Thông Tin'!$D$10="Nâng cao (🟢+🟡+⚪)"))),"✓ Có","✗ Không")</f>
        <v>✗ Không</v>
      </c>
      <c r="E15" s="18">
        <f>IF(D15="✓ Có",VLOOKUP(B15,'Hệ Số'!B:C,2,FALSE),0)</f>
        <v>0</v>
      </c>
      <c r="F15" s="12" t="s">
        <v>106</v>
      </c>
    </row>
    <row r="16" spans="1:6" ht="24" customHeight="1" x14ac:dyDescent="0.25">
      <c r="A16" s="5">
        <v>11</v>
      </c>
      <c r="B16" s="6" t="s">
        <v>107</v>
      </c>
      <c r="C16" s="19" t="s">
        <v>207</v>
      </c>
      <c r="D16" s="7" t="str">
        <f>IF(AND('📋 Thông Tin'!$B$10="Booking",OR(C16="🟢 Bắt buộc",AND(C16="🟡 Nên có",OR('📋 Thông Tin'!$D$10="Phổ thông (🟢+🟡)",'📋 Thông Tin'!$D$10="Nâng cao (🟢+🟡+⚪)")),AND(C16="⚪ Tùy chọn",'📋 Thông Tin'!$D$10="Nâng cao (🟢+🟡+⚪)"))),"✓ Có","✗ Không")</f>
        <v>✗ Không</v>
      </c>
      <c r="E16" s="16">
        <f>IF(D16="✓ Có",VLOOKUP(B16,'Hệ Số'!B:C,2,FALSE),0)</f>
        <v>0</v>
      </c>
      <c r="F16" s="8" t="s">
        <v>108</v>
      </c>
    </row>
    <row r="17" spans="1:6" ht="24" customHeight="1" x14ac:dyDescent="0.25">
      <c r="A17" s="9">
        <v>12</v>
      </c>
      <c r="B17" s="10" t="s">
        <v>109</v>
      </c>
      <c r="C17" s="19" t="s">
        <v>207</v>
      </c>
      <c r="D17" s="11" t="str">
        <f>IF(AND('📋 Thông Tin'!$B$10="Booking",OR(C17="🟢 Bắt buộc",AND(C17="🟡 Nên có",OR('📋 Thông Tin'!$D$10="Phổ thông (🟢+🟡)",'📋 Thông Tin'!$D$10="Nâng cao (🟢+🟡+⚪)")),AND(C17="⚪ Tùy chọn",'📋 Thông Tin'!$D$10="Nâng cao (🟢+🟡+⚪)"))),"✓ Có","✗ Không")</f>
        <v>✗ Không</v>
      </c>
      <c r="E17" s="18">
        <f>IF(D17="✓ Có",VLOOKUP(B17,'Hệ Số'!B:C,2,FALSE),0)</f>
        <v>0</v>
      </c>
      <c r="F17" s="12" t="s">
        <v>110</v>
      </c>
    </row>
    <row r="18" spans="1:6" ht="24" customHeight="1" x14ac:dyDescent="0.25">
      <c r="A18" s="5">
        <v>13</v>
      </c>
      <c r="B18" s="6" t="s">
        <v>111</v>
      </c>
      <c r="C18" s="20" t="s">
        <v>206</v>
      </c>
      <c r="D18" s="7" t="str">
        <f>IF(AND('📋 Thông Tin'!$B$10="Booking",OR(C18="🟢 Bắt buộc",AND(C18="🟡 Nên có",OR('📋 Thông Tin'!$D$10="Phổ thông (🟢+🟡)",'📋 Thông Tin'!$D$10="Nâng cao (🟢+🟡+⚪)")),AND(C18="⚪ Tùy chọn",'📋 Thông Tin'!$D$10="Nâng cao (🟢+🟡+⚪)"))),"✓ Có","✗ Không")</f>
        <v>✗ Không</v>
      </c>
      <c r="E18" s="16">
        <f>IF(D18="✓ Có",VLOOKUP(B18,'Hệ Số'!B:C,2,FALSE),0)</f>
        <v>0</v>
      </c>
      <c r="F18" s="8" t="s">
        <v>112</v>
      </c>
    </row>
    <row r="19" spans="1:6" ht="24" customHeight="1" x14ac:dyDescent="0.25">
      <c r="A19" s="9">
        <v>14</v>
      </c>
      <c r="B19" s="10" t="s">
        <v>113</v>
      </c>
      <c r="C19" s="17" t="s">
        <v>206</v>
      </c>
      <c r="D19" s="11" t="str">
        <f>IF(AND('📋 Thông Tin'!$B$10="Booking",OR(C19="🟢 Bắt buộc",AND(C19="🟡 Nên có",OR('📋 Thông Tin'!$D$10="Phổ thông (🟢+🟡)",'📋 Thông Tin'!$D$10="Nâng cao (🟢+🟡+⚪)")),AND(C19="⚪ Tùy chọn",'📋 Thông Tin'!$D$10="Nâng cao (🟢+🟡+⚪)"))),"✓ Có","✗ Không")</f>
        <v>✗ Không</v>
      </c>
      <c r="E19" s="18">
        <f>IF(D19="✓ Có",VLOOKUP(B19,'Hệ Số'!B:C,2,FALSE),0)</f>
        <v>0</v>
      </c>
      <c r="F19" s="12" t="s">
        <v>114</v>
      </c>
    </row>
    <row r="20" spans="1:6" ht="24" customHeight="1" x14ac:dyDescent="0.25">
      <c r="A20" s="5">
        <v>15</v>
      </c>
      <c r="B20" s="6" t="s">
        <v>115</v>
      </c>
      <c r="C20" s="19" t="s">
        <v>207</v>
      </c>
      <c r="D20" s="7" t="str">
        <f>IF(AND('📋 Thông Tin'!$B$10="Booking",OR(C20="🟢 Bắt buộc",AND(C20="🟡 Nên có",OR('📋 Thông Tin'!$D$10="Phổ thông (🟢+🟡)",'📋 Thông Tin'!$D$10="Nâng cao (🟢+🟡+⚪)")),AND(C20="⚪ Tùy chọn",'📋 Thông Tin'!$D$10="Nâng cao (🟢+🟡+⚪)"))),"✓ Có","✗ Không")</f>
        <v>✗ Không</v>
      </c>
      <c r="E20" s="16">
        <f>IF(D20="✓ Có",VLOOKUP(B20,'Hệ Số'!B:C,2,FALSE),0)</f>
        <v>0</v>
      </c>
      <c r="F20" s="8" t="s">
        <v>116</v>
      </c>
    </row>
    <row r="21" spans="1:6" ht="24" customHeight="1" x14ac:dyDescent="0.25">
      <c r="A21" s="9">
        <v>16</v>
      </c>
      <c r="B21" s="10" t="s">
        <v>117</v>
      </c>
      <c r="C21" s="19" t="s">
        <v>207</v>
      </c>
      <c r="D21" s="11" t="str">
        <f>IF(AND('📋 Thông Tin'!$B$10="Booking",OR(C21="🟢 Bắt buộc",AND(C21="🟡 Nên có",OR('📋 Thông Tin'!$D$10="Phổ thông (🟢+🟡)",'📋 Thông Tin'!$D$10="Nâng cao (🟢+🟡+⚪)")),AND(C21="⚪ Tùy chọn",'📋 Thông Tin'!$D$10="Nâng cao (🟢+🟡+⚪)"))),"✓ Có","✗ Không")</f>
        <v>✗ Không</v>
      </c>
      <c r="E21" s="18">
        <f>IF(D21="✓ Có",VLOOKUP(B21,'Hệ Số'!B:C,2,FALSE),0)</f>
        <v>0</v>
      </c>
      <c r="F21" s="12" t="s">
        <v>118</v>
      </c>
    </row>
    <row r="22" spans="1:6" ht="24" customHeight="1" x14ac:dyDescent="0.25">
      <c r="A22" s="5">
        <v>17</v>
      </c>
      <c r="B22" s="6" t="s">
        <v>119</v>
      </c>
      <c r="C22" s="20" t="s">
        <v>206</v>
      </c>
      <c r="D22" s="7" t="str">
        <f>IF(AND('📋 Thông Tin'!$B$10="Booking",OR(C22="🟢 Bắt buộc",AND(C22="🟡 Nên có",OR('📋 Thông Tin'!$D$10="Phổ thông (🟢+🟡)",'📋 Thông Tin'!$D$10="Nâng cao (🟢+🟡+⚪)")),AND(C22="⚪ Tùy chọn",'📋 Thông Tin'!$D$10="Nâng cao (🟢+🟡+⚪)"))),"✓ Có","✗ Không")</f>
        <v>✗ Không</v>
      </c>
      <c r="E22" s="16">
        <f>IF(D22="✓ Có",VLOOKUP(B22,'Hệ Số'!B:C,2,FALSE),0)</f>
        <v>0</v>
      </c>
      <c r="F22" s="8" t="s">
        <v>3</v>
      </c>
    </row>
    <row r="23" spans="1:6" ht="24" customHeight="1" x14ac:dyDescent="0.25">
      <c r="A23" s="9">
        <v>18</v>
      </c>
      <c r="B23" s="10" t="s">
        <v>120</v>
      </c>
      <c r="C23" s="17" t="s">
        <v>206</v>
      </c>
      <c r="D23" s="11" t="str">
        <f>IF(AND('📋 Thông Tin'!$B$10="Booking",OR(C23="🟢 Bắt buộc",AND(C23="🟡 Nên có",OR('📋 Thông Tin'!$D$10="Phổ thông (🟢+🟡)",'📋 Thông Tin'!$D$10="Nâng cao (🟢+🟡+⚪)")),AND(C23="⚪ Tùy chọn",'📋 Thông Tin'!$D$10="Nâng cao (🟢+🟡+⚪)"))),"✓ Có","✗ Không")</f>
        <v>✗ Không</v>
      </c>
      <c r="E23" s="18">
        <f>IF(D23="✓ Có",VLOOKUP(B23,'Hệ Số'!B:C,2,FALSE),0)</f>
        <v>0</v>
      </c>
      <c r="F23" s="12" t="s">
        <v>121</v>
      </c>
    </row>
    <row r="24" spans="1:6" ht="24" customHeight="1" x14ac:dyDescent="0.25">
      <c r="A24" s="5">
        <v>19</v>
      </c>
      <c r="B24" s="6" t="s">
        <v>122</v>
      </c>
      <c r="C24" s="19" t="s">
        <v>207</v>
      </c>
      <c r="D24" s="7" t="str">
        <f>IF(AND('📋 Thông Tin'!$B$10="Booking",OR(C24="🟢 Bắt buộc",AND(C24="🟡 Nên có",OR('📋 Thông Tin'!$D$10="Phổ thông (🟢+🟡)",'📋 Thông Tin'!$D$10="Nâng cao (🟢+🟡+⚪)")),AND(C24="⚪ Tùy chọn",'📋 Thông Tin'!$D$10="Nâng cao (🟢+🟡+⚪)"))),"✓ Có","✗ Không")</f>
        <v>✗ Không</v>
      </c>
      <c r="E24" s="16">
        <f>IF(D24="✓ Có",VLOOKUP(B24,'Hệ Số'!B:C,2,FALSE),0)</f>
        <v>0</v>
      </c>
      <c r="F24" s="8" t="s">
        <v>123</v>
      </c>
    </row>
    <row r="25" spans="1:6" ht="26.1" customHeight="1" x14ac:dyDescent="0.25">
      <c r="A25" s="39" t="s">
        <v>124</v>
      </c>
      <c r="B25" s="39"/>
      <c r="C25" s="39"/>
      <c r="D25" s="39"/>
      <c r="E25" s="39"/>
      <c r="F25" s="39"/>
    </row>
    <row r="26" spans="1:6" ht="24" customHeight="1" x14ac:dyDescent="0.25">
      <c r="A26" s="9">
        <v>20</v>
      </c>
      <c r="B26" s="10" t="s">
        <v>125</v>
      </c>
      <c r="C26" s="15" t="s">
        <v>205</v>
      </c>
      <c r="D26" s="11" t="str">
        <f>IF(AND('📋 Thông Tin'!$B$10="Booking",OR(C26="🟢 Bắt buộc",AND(C26="🟡 Nên có",OR('📋 Thông Tin'!$D$10="Phổ thông (🟢+🟡)",'📋 Thông Tin'!$D$10="Nâng cao (🟢+🟡+⚪)")),AND(C26="⚪ Tùy chọn",'📋 Thông Tin'!$D$10="Nâng cao (🟢+🟡+⚪)"))),"✓ Có","✗ Không")</f>
        <v>✗ Không</v>
      </c>
      <c r="E26" s="18">
        <f>IF(D26="✓ Có",VLOOKUP(B26,'Hệ Số'!B:C,2,FALSE),0)</f>
        <v>0</v>
      </c>
      <c r="F26" s="12" t="s">
        <v>126</v>
      </c>
    </row>
    <row r="27" spans="1:6" ht="24" customHeight="1" x14ac:dyDescent="0.25">
      <c r="A27" s="5">
        <v>21</v>
      </c>
      <c r="B27" s="6" t="s">
        <v>127</v>
      </c>
      <c r="C27" s="19" t="s">
        <v>207</v>
      </c>
      <c r="D27" s="7" t="str">
        <f>IF(AND('📋 Thông Tin'!$B$10="Booking",OR(C27="🟢 Bắt buộc",AND(C27="🟡 Nên có",OR('📋 Thông Tin'!$D$10="Phổ thông (🟢+🟡)",'📋 Thông Tin'!$D$10="Nâng cao (🟢+🟡+⚪)")),AND(C27="⚪ Tùy chọn",'📋 Thông Tin'!$D$10="Nâng cao (🟢+🟡+⚪)"))),"✓ Có","✗ Không")</f>
        <v>✗ Không</v>
      </c>
      <c r="E27" s="16">
        <f>IF(D27="✓ Có",VLOOKUP(B27,'Hệ Số'!B:C,2,FALSE),0)</f>
        <v>0</v>
      </c>
      <c r="F27" s="8" t="s">
        <v>128</v>
      </c>
    </row>
    <row r="28" spans="1:6" ht="24" customHeight="1" x14ac:dyDescent="0.25">
      <c r="A28" s="9">
        <v>22</v>
      </c>
      <c r="B28" s="10" t="s">
        <v>131</v>
      </c>
      <c r="C28" s="17" t="s">
        <v>206</v>
      </c>
      <c r="D28" s="11" t="str">
        <f>IF(AND('📋 Thông Tin'!$B$10="Booking",OR(C28="🟢 Bắt buộc",AND(C28="🟡 Nên có",OR('📋 Thông Tin'!$D$10="Phổ thông (🟢+🟡)",'📋 Thông Tin'!$D$10="Nâng cao (🟢+🟡+⚪)")),AND(C28="⚪ Tùy chọn",'📋 Thông Tin'!$D$10="Nâng cao (🟢+🟡+⚪)"))),"✓ Có","✗ Không")</f>
        <v>✗ Không</v>
      </c>
      <c r="E28" s="18">
        <f>IF(D28="✓ Có",VLOOKUP(B28,'Hệ Số'!B:C,2,FALSE),0)</f>
        <v>0</v>
      </c>
      <c r="F28" s="12" t="s">
        <v>132</v>
      </c>
    </row>
    <row r="29" spans="1:6" ht="24" customHeight="1" x14ac:dyDescent="0.25">
      <c r="A29" s="5">
        <v>23</v>
      </c>
      <c r="B29" s="6" t="s">
        <v>133</v>
      </c>
      <c r="C29" s="20" t="s">
        <v>206</v>
      </c>
      <c r="D29" s="7" t="str">
        <f>IF(AND('📋 Thông Tin'!$B$10="Booking",OR(C29="🟢 Bắt buộc",AND(C29="🟡 Nên có",OR('📋 Thông Tin'!$D$10="Phổ thông (🟢+🟡)",'📋 Thông Tin'!$D$10="Nâng cao (🟢+🟡+⚪)")),AND(C29="⚪ Tùy chọn",'📋 Thông Tin'!$D$10="Nâng cao (🟢+🟡+⚪)"))),"✓ Có","✗ Không")</f>
        <v>✗ Không</v>
      </c>
      <c r="E29" s="16">
        <f>IF(D29="✓ Có",VLOOKUP(B29,'Hệ Số'!B:C,2,FALSE),0)</f>
        <v>0</v>
      </c>
      <c r="F29" s="8" t="s">
        <v>134</v>
      </c>
    </row>
    <row r="30" spans="1:6" ht="26.1" customHeight="1" x14ac:dyDescent="0.25">
      <c r="A30" s="39" t="s">
        <v>137</v>
      </c>
      <c r="B30" s="39"/>
      <c r="C30" s="39"/>
      <c r="D30" s="39"/>
      <c r="E30" s="39"/>
      <c r="F30" s="39"/>
    </row>
    <row r="31" spans="1:6" ht="24" customHeight="1" x14ac:dyDescent="0.25">
      <c r="A31" s="9">
        <v>24</v>
      </c>
      <c r="B31" s="10" t="s">
        <v>138</v>
      </c>
      <c r="C31" s="19" t="s">
        <v>207</v>
      </c>
      <c r="D31" s="11" t="str">
        <f>IF(AND('📋 Thông Tin'!$B$10="Booking",OR(C31="🟢 Bắt buộc",AND(C31="🟡 Nên có",OR('📋 Thông Tin'!$D$10="Phổ thông (🟢+🟡)",'📋 Thông Tin'!$D$10="Nâng cao (🟢+🟡+⚪)")),AND(C31="⚪ Tùy chọn",'📋 Thông Tin'!$D$10="Nâng cao (🟢+🟡+⚪)"))),"✓ Có","✗ Không")</f>
        <v>✗ Không</v>
      </c>
      <c r="E31" s="18">
        <f>IF(D31="✓ Có",VLOOKUP(B31,'Hệ Số'!B:C,2,FALSE),0)</f>
        <v>0</v>
      </c>
      <c r="F31" s="12" t="s">
        <v>139</v>
      </c>
    </row>
    <row r="32" spans="1:6" ht="24" customHeight="1" x14ac:dyDescent="0.25">
      <c r="A32" s="5">
        <v>25</v>
      </c>
      <c r="B32" s="6" t="s">
        <v>140</v>
      </c>
      <c r="C32" s="20" t="s">
        <v>206</v>
      </c>
      <c r="D32" s="7" t="str">
        <f>IF(AND('📋 Thông Tin'!$B$10="Booking",OR(C32="🟢 Bắt buộc",AND(C32="🟡 Nên có",OR('📋 Thông Tin'!$D$10="Phổ thông (🟢+🟡)",'📋 Thông Tin'!$D$10="Nâng cao (🟢+🟡+⚪)")),AND(C32="⚪ Tùy chọn",'📋 Thông Tin'!$D$10="Nâng cao (🟢+🟡+⚪)"))),"✓ Có","✗ Không")</f>
        <v>✗ Không</v>
      </c>
      <c r="E32" s="16">
        <f>IF(D32="✓ Có",VLOOKUP(B32,'Hệ Số'!B:C,2,FALSE),0)</f>
        <v>0</v>
      </c>
      <c r="F32" s="8" t="s">
        <v>141</v>
      </c>
    </row>
    <row r="33" spans="1:6" ht="24" customHeight="1" x14ac:dyDescent="0.25">
      <c r="A33" s="9">
        <v>26</v>
      </c>
      <c r="B33" s="10" t="s">
        <v>142</v>
      </c>
      <c r="C33" s="17" t="s">
        <v>206</v>
      </c>
      <c r="D33" s="11" t="str">
        <f>IF(AND('📋 Thông Tin'!$B$10="Booking",OR(C33="🟢 Bắt buộc",AND(C33="🟡 Nên có",OR('📋 Thông Tin'!$D$10="Phổ thông (🟢+🟡)",'📋 Thông Tin'!$D$10="Nâng cao (🟢+🟡+⚪)")),AND(C33="⚪ Tùy chọn",'📋 Thông Tin'!$D$10="Nâng cao (🟢+🟡+⚪)"))),"✓ Có","✗ Không")</f>
        <v>✗ Không</v>
      </c>
      <c r="E33" s="18">
        <f>IF(D33="✓ Có",VLOOKUP(B33,'Hệ Số'!B:C,2,FALSE),0)</f>
        <v>0</v>
      </c>
      <c r="F33" s="12" t="s">
        <v>143</v>
      </c>
    </row>
    <row r="34" spans="1:6" ht="24" customHeight="1" x14ac:dyDescent="0.25">
      <c r="A34" s="5">
        <v>27</v>
      </c>
      <c r="B34" s="6" t="s">
        <v>144</v>
      </c>
      <c r="C34" s="20" t="s">
        <v>206</v>
      </c>
      <c r="D34" s="7" t="str">
        <f>IF(AND('📋 Thông Tin'!$B$10="Booking",OR(C34="🟢 Bắt buộc",AND(C34="🟡 Nên có",OR('📋 Thông Tin'!$D$10="Phổ thông (🟢+🟡)",'📋 Thông Tin'!$D$10="Nâng cao (🟢+🟡+⚪)")),AND(C34="⚪ Tùy chọn",'📋 Thông Tin'!$D$10="Nâng cao (🟢+🟡+⚪)"))),"✓ Có","✗ Không")</f>
        <v>✗ Không</v>
      </c>
      <c r="E34" s="16">
        <f>IF(D34="✓ Có",VLOOKUP(B34,'Hệ Số'!B:C,2,FALSE),0)</f>
        <v>0</v>
      </c>
      <c r="F34" s="8" t="s">
        <v>145</v>
      </c>
    </row>
    <row r="35" spans="1:6" ht="24" customHeight="1" x14ac:dyDescent="0.25">
      <c r="A35" s="9">
        <v>28</v>
      </c>
      <c r="B35" s="10" t="s">
        <v>146</v>
      </c>
      <c r="C35" s="17" t="s">
        <v>206</v>
      </c>
      <c r="D35" s="11" t="str">
        <f>IF(AND('📋 Thông Tin'!$B$10="Booking",OR(C35="🟢 Bắt buộc",AND(C35="🟡 Nên có",OR('📋 Thông Tin'!$D$10="Phổ thông (🟢+🟡)",'📋 Thông Tin'!$D$10="Nâng cao (🟢+🟡+⚪)")),AND(C35="⚪ Tùy chọn",'📋 Thông Tin'!$D$10="Nâng cao (🟢+🟡+⚪)"))),"✓ Có","✗ Không")</f>
        <v>✗ Không</v>
      </c>
      <c r="E35" s="18">
        <f>IF(D35="✓ Có",VLOOKUP(B35,'Hệ Số'!B:C,2,FALSE),0)</f>
        <v>0</v>
      </c>
      <c r="F35" s="12" t="s">
        <v>147</v>
      </c>
    </row>
    <row r="36" spans="1:6" ht="26.1" customHeight="1" x14ac:dyDescent="0.25">
      <c r="A36" s="39" t="s">
        <v>148</v>
      </c>
      <c r="B36" s="39"/>
      <c r="C36" s="39"/>
      <c r="D36" s="39"/>
      <c r="E36" s="39"/>
      <c r="F36" s="39"/>
    </row>
    <row r="37" spans="1:6" ht="24" customHeight="1" x14ac:dyDescent="0.25">
      <c r="A37" s="5">
        <v>29</v>
      </c>
      <c r="B37" s="6" t="s">
        <v>149</v>
      </c>
      <c r="C37" s="19" t="s">
        <v>207</v>
      </c>
      <c r="D37" s="7" t="str">
        <f>IF(AND('📋 Thông Tin'!$B$10="Booking",OR(C37="🟢 Bắt buộc",AND(C37="🟡 Nên có",OR('📋 Thông Tin'!$D$10="Phổ thông (🟢+🟡)",'📋 Thông Tin'!$D$10="Nâng cao (🟢+🟡+⚪)")),AND(C37="⚪ Tùy chọn",'📋 Thông Tin'!$D$10="Nâng cao (🟢+🟡+⚪)"))),"✓ Có","✗ Không")</f>
        <v>✗ Không</v>
      </c>
      <c r="E37" s="16">
        <f>IF(D37="✓ Có",VLOOKUP(B37,'Hệ Số'!B:C,2,FALSE),0)</f>
        <v>0</v>
      </c>
      <c r="F37" s="8" t="s">
        <v>3</v>
      </c>
    </row>
    <row r="38" spans="1:6" ht="24" customHeight="1" x14ac:dyDescent="0.25">
      <c r="A38" s="9">
        <v>30</v>
      </c>
      <c r="B38" s="10" t="s">
        <v>150</v>
      </c>
      <c r="C38" s="17" t="s">
        <v>206</v>
      </c>
      <c r="D38" s="11" t="str">
        <f>IF(AND('📋 Thông Tin'!$B$10="Booking",OR(C38="🟢 Bắt buộc",AND(C38="🟡 Nên có",OR('📋 Thông Tin'!$D$10="Phổ thông (🟢+🟡)",'📋 Thông Tin'!$D$10="Nâng cao (🟢+🟡+⚪)")),AND(C38="⚪ Tùy chọn",'📋 Thông Tin'!$D$10="Nâng cao (🟢+🟡+⚪)"))),"✓ Có","✗ Không")</f>
        <v>✗ Không</v>
      </c>
      <c r="E38" s="18">
        <f>IF(D38="✓ Có",VLOOKUP(B38,'Hệ Số'!B:C,2,FALSE),0)</f>
        <v>0</v>
      </c>
      <c r="F38" s="12" t="s">
        <v>151</v>
      </c>
    </row>
    <row r="39" spans="1:6" ht="24" customHeight="1" x14ac:dyDescent="0.25">
      <c r="A39" s="5">
        <v>31</v>
      </c>
      <c r="B39" s="6" t="s">
        <v>152</v>
      </c>
      <c r="C39" s="20" t="s">
        <v>206</v>
      </c>
      <c r="D39" s="7" t="str">
        <f>IF(AND('📋 Thông Tin'!$B$10="Booking",OR(C39="🟢 Bắt buộc",AND(C39="🟡 Nên có",OR('📋 Thông Tin'!$D$10="Phổ thông (🟢+🟡)",'📋 Thông Tin'!$D$10="Nâng cao (🟢+🟡+⚪)")),AND(C39="⚪ Tùy chọn",'📋 Thông Tin'!$D$10="Nâng cao (🟢+🟡+⚪)"))),"✓ Có","✗ Không")</f>
        <v>✗ Không</v>
      </c>
      <c r="E39" s="16">
        <f>IF(D39="✓ Có",VLOOKUP(B39,'Hệ Số'!B:C,2,FALSE),0)</f>
        <v>0</v>
      </c>
      <c r="F39" s="8" t="s">
        <v>153</v>
      </c>
    </row>
    <row r="40" spans="1:6" ht="26.1" customHeight="1" x14ac:dyDescent="0.25">
      <c r="A40" s="39" t="s">
        <v>154</v>
      </c>
      <c r="B40" s="39"/>
      <c r="C40" s="39"/>
      <c r="D40" s="39"/>
      <c r="E40" s="39"/>
      <c r="F40" s="39"/>
    </row>
    <row r="41" spans="1:6" ht="24" customHeight="1" x14ac:dyDescent="0.25">
      <c r="A41" s="9">
        <v>32</v>
      </c>
      <c r="B41" s="10" t="s">
        <v>155</v>
      </c>
      <c r="C41" s="19" t="s">
        <v>207</v>
      </c>
      <c r="D41" s="11" t="str">
        <f>IF(AND('📋 Thông Tin'!$B$10="Booking",OR(C41="🟢 Bắt buộc",AND(C41="🟡 Nên có",OR('📋 Thông Tin'!$D$10="Phổ thông (🟢+🟡)",'📋 Thông Tin'!$D$10="Nâng cao (🟢+🟡+⚪)")),AND(C41="⚪ Tùy chọn",'📋 Thông Tin'!$D$10="Nâng cao (🟢+🟡+⚪)"))),"✓ Có","✗ Không")</f>
        <v>✗ Không</v>
      </c>
      <c r="E41" s="18">
        <f>IF(D41="✓ Có",VLOOKUP(B41,'Hệ Số'!B:C,2,FALSE),0)</f>
        <v>0</v>
      </c>
      <c r="F41" s="12" t="s">
        <v>156</v>
      </c>
    </row>
    <row r="42" spans="1:6" ht="24" customHeight="1" x14ac:dyDescent="0.25">
      <c r="A42" s="5">
        <v>33</v>
      </c>
      <c r="B42" s="6" t="s">
        <v>157</v>
      </c>
      <c r="C42" s="19" t="s">
        <v>207</v>
      </c>
      <c r="D42" s="7" t="str">
        <f>IF(AND('📋 Thông Tin'!$B$10="Booking",OR(C42="🟢 Bắt buộc",AND(C42="🟡 Nên có",OR('📋 Thông Tin'!$D$10="Phổ thông (🟢+🟡)",'📋 Thông Tin'!$D$10="Nâng cao (🟢+🟡+⚪)")),AND(C42="⚪ Tùy chọn",'📋 Thông Tin'!$D$10="Nâng cao (🟢+🟡+⚪)"))),"✓ Có","✗ Không")</f>
        <v>✗ Không</v>
      </c>
      <c r="E42" s="16">
        <f>IF(D42="✓ Có",VLOOKUP(B42,'Hệ Số'!B:C,2,FALSE),0)</f>
        <v>0</v>
      </c>
      <c r="F42" s="8" t="s">
        <v>158</v>
      </c>
    </row>
    <row r="43" spans="1:6" ht="24" customHeight="1" x14ac:dyDescent="0.25">
      <c r="A43" s="9">
        <v>34</v>
      </c>
      <c r="B43" s="10" t="s">
        <v>159</v>
      </c>
      <c r="C43" s="17" t="s">
        <v>206</v>
      </c>
      <c r="D43" s="11" t="str">
        <f>IF(AND('📋 Thông Tin'!$B$10="Booking",OR(C43="🟢 Bắt buộc",AND(C43="🟡 Nên có",OR('📋 Thông Tin'!$D$10="Phổ thông (🟢+🟡)",'📋 Thông Tin'!$D$10="Nâng cao (🟢+🟡+⚪)")),AND(C43="⚪ Tùy chọn",'📋 Thông Tin'!$D$10="Nâng cao (🟢+🟡+⚪)"))),"✓ Có","✗ Không")</f>
        <v>✗ Không</v>
      </c>
      <c r="E43" s="18">
        <f>IF(D43="✓ Có",VLOOKUP(B43,'Hệ Số'!B:C,2,FALSE),0)</f>
        <v>0</v>
      </c>
      <c r="F43" s="12" t="s">
        <v>160</v>
      </c>
    </row>
    <row r="44" spans="1:6" ht="24" customHeight="1" x14ac:dyDescent="0.25">
      <c r="A44" s="5">
        <v>35</v>
      </c>
      <c r="B44" s="6" t="s">
        <v>161</v>
      </c>
      <c r="C44" s="20" t="s">
        <v>206</v>
      </c>
      <c r="D44" s="7" t="str">
        <f>IF(AND('📋 Thông Tin'!$B$10="Booking",OR(C44="🟢 Bắt buộc",AND(C44="🟡 Nên có",OR('📋 Thông Tin'!$D$10="Phổ thông (🟢+🟡)",'📋 Thông Tin'!$D$10="Nâng cao (🟢+🟡+⚪)")),AND(C44="⚪ Tùy chọn",'📋 Thông Tin'!$D$10="Nâng cao (🟢+🟡+⚪)"))),"✓ Có","✗ Không")</f>
        <v>✗ Không</v>
      </c>
      <c r="E44" s="16">
        <f>IF(D44="✓ Có",VLOOKUP(B44,'Hệ Số'!B:C,2,FALSE),0)</f>
        <v>0</v>
      </c>
      <c r="F44" s="8" t="s">
        <v>3</v>
      </c>
    </row>
    <row r="45" spans="1:6" ht="24" customHeight="1" x14ac:dyDescent="0.25">
      <c r="A45" s="9">
        <v>36</v>
      </c>
      <c r="B45" s="10" t="s">
        <v>162</v>
      </c>
      <c r="C45" s="17" t="s">
        <v>206</v>
      </c>
      <c r="D45" s="11" t="str">
        <f>IF(AND('📋 Thông Tin'!$B$10="Booking",OR(C45="🟢 Bắt buộc",AND(C45="🟡 Nên có",OR('📋 Thông Tin'!$D$10="Phổ thông (🟢+🟡)",'📋 Thông Tin'!$D$10="Nâng cao (🟢+🟡+⚪)")),AND(C45="⚪ Tùy chọn",'📋 Thông Tin'!$D$10="Nâng cao (🟢+🟡+⚪)"))),"✓ Có","✗ Không")</f>
        <v>✗ Không</v>
      </c>
      <c r="E45" s="18">
        <f>IF(D45="✓ Có",VLOOKUP(B45,'Hệ Số'!B:C,2,FALSE),0)</f>
        <v>0</v>
      </c>
      <c r="F45" s="12" t="s">
        <v>163</v>
      </c>
    </row>
    <row r="46" spans="1:6" ht="26.1" customHeight="1" x14ac:dyDescent="0.25">
      <c r="A46" s="39" t="s">
        <v>164</v>
      </c>
      <c r="B46" s="39"/>
      <c r="C46" s="39"/>
      <c r="D46" s="39"/>
      <c r="E46" s="39"/>
      <c r="F46" s="39"/>
    </row>
    <row r="47" spans="1:6" ht="24" customHeight="1" x14ac:dyDescent="0.25">
      <c r="A47" s="5">
        <v>37</v>
      </c>
      <c r="B47" s="6" t="s">
        <v>165</v>
      </c>
      <c r="C47" s="15" t="s">
        <v>205</v>
      </c>
      <c r="D47" s="7" t="str">
        <f>IF(AND('📋 Thông Tin'!$B$10="Booking",OR(C47="🟢 Bắt buộc",AND(C47="🟡 Nên có",OR('📋 Thông Tin'!$D$10="Phổ thông (🟢+🟡)",'📋 Thông Tin'!$D$10="Nâng cao (🟢+🟡+⚪)")),AND(C47="⚪ Tùy chọn",'📋 Thông Tin'!$D$10="Nâng cao (🟢+🟡+⚪)"))),"✓ Có","✗ Không")</f>
        <v>✗ Không</v>
      </c>
      <c r="E47" s="16">
        <f>IF(D47="✓ Có",VLOOKUP(B47,'Hệ Số'!B:C,2,FALSE),0)</f>
        <v>0</v>
      </c>
      <c r="F47" s="8" t="s">
        <v>3</v>
      </c>
    </row>
    <row r="48" spans="1:6" ht="24" customHeight="1" x14ac:dyDescent="0.25">
      <c r="A48" s="9">
        <v>38</v>
      </c>
      <c r="B48" s="10" t="s">
        <v>166</v>
      </c>
      <c r="C48" s="15" t="s">
        <v>205</v>
      </c>
      <c r="D48" s="11" t="str">
        <f>IF(AND('📋 Thông Tin'!$B$10="Booking",OR(C48="🟢 Bắt buộc",AND(C48="🟡 Nên có",OR('📋 Thông Tin'!$D$10="Phổ thông (🟢+🟡)",'📋 Thông Tin'!$D$10="Nâng cao (🟢+🟡+⚪)")),AND(C48="⚪ Tùy chọn",'📋 Thông Tin'!$D$10="Nâng cao (🟢+🟡+⚪)"))),"✓ Có","✗ Không")</f>
        <v>✗ Không</v>
      </c>
      <c r="E48" s="18">
        <f>IF(D48="✓ Có",VLOOKUP(B48,'Hệ Số'!B:C,2,FALSE),0)</f>
        <v>0</v>
      </c>
      <c r="F48" s="12" t="s">
        <v>3</v>
      </c>
    </row>
    <row r="49" spans="1:6" ht="24" customHeight="1" x14ac:dyDescent="0.25">
      <c r="A49" s="5">
        <v>39</v>
      </c>
      <c r="B49" s="6" t="s">
        <v>167</v>
      </c>
      <c r="C49" s="19" t="s">
        <v>207</v>
      </c>
      <c r="D49" s="7" t="str">
        <f>IF(AND('📋 Thông Tin'!$B$10="Booking",OR(C49="🟢 Bắt buộc",AND(C49="🟡 Nên có",OR('📋 Thông Tin'!$D$10="Phổ thông (🟢+🟡)",'📋 Thông Tin'!$D$10="Nâng cao (🟢+🟡+⚪)")),AND(C49="⚪ Tùy chọn",'📋 Thông Tin'!$D$10="Nâng cao (🟢+🟡+⚪)"))),"✓ Có","✗ Không")</f>
        <v>✗ Không</v>
      </c>
      <c r="E49" s="16">
        <f>IF(D49="✓ Có",VLOOKUP(B49,'Hệ Số'!B:C,2,FALSE),0)</f>
        <v>0</v>
      </c>
      <c r="F49" s="8" t="s">
        <v>168</v>
      </c>
    </row>
    <row r="50" spans="1:6" ht="24" customHeight="1" x14ac:dyDescent="0.25">
      <c r="A50" s="9">
        <v>40</v>
      </c>
      <c r="B50" s="10" t="s">
        <v>169</v>
      </c>
      <c r="C50" s="19" t="s">
        <v>207</v>
      </c>
      <c r="D50" s="11" t="str">
        <f>IF(AND('📋 Thông Tin'!$B$10="Booking",OR(C50="🟢 Bắt buộc",AND(C50="🟡 Nên có",OR('📋 Thông Tin'!$D$10="Phổ thông (🟢+🟡)",'📋 Thông Tin'!$D$10="Nâng cao (🟢+🟡+⚪)")),AND(C50="⚪ Tùy chọn",'📋 Thông Tin'!$D$10="Nâng cao (🟢+🟡+⚪)"))),"✓ Có","✗ Không")</f>
        <v>✗ Không</v>
      </c>
      <c r="E50" s="18">
        <f>IF(D50="✓ Có",VLOOKUP(B50,'Hệ Số'!B:C,2,FALSE),0)</f>
        <v>0</v>
      </c>
      <c r="F50" s="12" t="s">
        <v>3</v>
      </c>
    </row>
    <row r="51" spans="1:6" ht="24" customHeight="1" x14ac:dyDescent="0.25">
      <c r="A51" s="5">
        <v>41</v>
      </c>
      <c r="B51" s="6" t="s">
        <v>170</v>
      </c>
      <c r="C51" s="19" t="s">
        <v>207</v>
      </c>
      <c r="D51" s="7" t="str">
        <f>IF(AND('📋 Thông Tin'!$B$10="Booking",OR(C51="🟢 Bắt buộc",AND(C51="🟡 Nên có",OR('📋 Thông Tin'!$D$10="Phổ thông (🟢+🟡)",'📋 Thông Tin'!$D$10="Nâng cao (🟢+🟡+⚪)")),AND(C51="⚪ Tùy chọn",'📋 Thông Tin'!$D$10="Nâng cao (🟢+🟡+⚪)"))),"✓ Có","✗ Không")</f>
        <v>✗ Không</v>
      </c>
      <c r="E51" s="16">
        <f>IF(D51="✓ Có",VLOOKUP(B51,'Hệ Số'!B:C,2,FALSE),0)</f>
        <v>0</v>
      </c>
      <c r="F51" s="8" t="s">
        <v>3</v>
      </c>
    </row>
    <row r="52" spans="1:6" ht="24" customHeight="1" x14ac:dyDescent="0.25">
      <c r="A52" s="9">
        <v>42</v>
      </c>
      <c r="B52" s="10" t="s">
        <v>171</v>
      </c>
      <c r="C52" s="17" t="s">
        <v>206</v>
      </c>
      <c r="D52" s="11" t="str">
        <f>IF(AND('📋 Thông Tin'!$B$10="Booking",OR(C52="🟢 Bắt buộc",AND(C52="🟡 Nên có",OR('📋 Thông Tin'!$D$10="Phổ thông (🟢+🟡)",'📋 Thông Tin'!$D$10="Nâng cao (🟢+🟡+⚪)")),AND(C52="⚪ Tùy chọn",'📋 Thông Tin'!$D$10="Nâng cao (🟢+🟡+⚪)"))),"✓ Có","✗ Không")</f>
        <v>✗ Không</v>
      </c>
      <c r="E52" s="18">
        <f>IF(D52="✓ Có",VLOOKUP(B52,'Hệ Số'!B:C,2,FALSE),0)</f>
        <v>0</v>
      </c>
      <c r="F52" s="12" t="s">
        <v>3</v>
      </c>
    </row>
    <row r="53" spans="1:6" ht="24" customHeight="1" x14ac:dyDescent="0.25">
      <c r="A53" s="5">
        <v>43</v>
      </c>
      <c r="B53" s="6" t="s">
        <v>172</v>
      </c>
      <c r="C53" s="15" t="s">
        <v>205</v>
      </c>
      <c r="D53" s="7" t="str">
        <f>IF(AND('📋 Thông Tin'!$B$10="Booking",OR(C53="🟢 Bắt buộc",AND(C53="🟡 Nên có",OR('📋 Thông Tin'!$D$10="Phổ thông (🟢+🟡)",'📋 Thông Tin'!$D$10="Nâng cao (🟢+🟡+⚪)")),AND(C53="⚪ Tùy chọn",'📋 Thông Tin'!$D$10="Nâng cao (🟢+🟡+⚪)"))),"✓ Có","✗ Không")</f>
        <v>✗ Không</v>
      </c>
      <c r="E53" s="16">
        <f>IF(D53="✓ Có",VLOOKUP(B53,'Hệ Số'!B:C,2,FALSE),0)</f>
        <v>0</v>
      </c>
      <c r="F53" s="8" t="s">
        <v>173</v>
      </c>
    </row>
    <row r="54" spans="1:6" ht="24" customHeight="1" x14ac:dyDescent="0.25">
      <c r="A54" s="9">
        <v>44</v>
      </c>
      <c r="B54" s="10" t="s">
        <v>174</v>
      </c>
      <c r="C54" s="17" t="s">
        <v>206</v>
      </c>
      <c r="D54" s="11" t="str">
        <f>IF(AND('📋 Thông Tin'!$B$10="Booking",OR(C54="🟢 Bắt buộc",AND(C54="🟡 Nên có",OR('📋 Thông Tin'!$D$10="Phổ thông (🟢+🟡)",'📋 Thông Tin'!$D$10="Nâng cao (🟢+🟡+⚪)")),AND(C54="⚪ Tùy chọn",'📋 Thông Tin'!$D$10="Nâng cao (🟢+🟡+⚪)"))),"✓ Có","✗ Không")</f>
        <v>✗ Không</v>
      </c>
      <c r="E54" s="18">
        <f>IF(D54="✓ Có",VLOOKUP(B54,'Hệ Số'!B:C,2,FALSE),0)</f>
        <v>0</v>
      </c>
      <c r="F54" s="12" t="s">
        <v>3</v>
      </c>
    </row>
    <row r="55" spans="1:6" ht="24" customHeight="1" x14ac:dyDescent="0.25">
      <c r="A55" s="5">
        <v>45</v>
      </c>
      <c r="B55" s="6" t="s">
        <v>175</v>
      </c>
      <c r="C55" s="20" t="s">
        <v>206</v>
      </c>
      <c r="D55" s="7" t="str">
        <f>IF(AND('📋 Thông Tin'!$B$10="Booking",OR(C55="🟢 Bắt buộc",AND(C55="🟡 Nên có",OR('📋 Thông Tin'!$D$10="Phổ thông (🟢+🟡)",'📋 Thông Tin'!$D$10="Nâng cao (🟢+🟡+⚪)")),AND(C55="⚪ Tùy chọn",'📋 Thông Tin'!$D$10="Nâng cao (🟢+🟡+⚪)"))),"✓ Có","✗ Không")</f>
        <v>✗ Không</v>
      </c>
      <c r="E55" s="16">
        <f>IF(D55="✓ Có",VLOOKUP(B55,'Hệ Số'!B:C,2,FALSE),0)</f>
        <v>0</v>
      </c>
      <c r="F55" s="8" t="s">
        <v>176</v>
      </c>
    </row>
    <row r="56" spans="1:6" ht="24" customHeight="1" x14ac:dyDescent="0.25">
      <c r="A56" s="9">
        <v>46</v>
      </c>
      <c r="B56" s="10" t="s">
        <v>177</v>
      </c>
      <c r="C56" s="19" t="s">
        <v>207</v>
      </c>
      <c r="D56" s="11" t="str">
        <f>IF(AND('📋 Thông Tin'!$B$10="Booking",OR(C56="🟢 Bắt buộc",AND(C56="🟡 Nên có",OR('📋 Thông Tin'!$D$10="Phổ thông (🟢+🟡)",'📋 Thông Tin'!$D$10="Nâng cao (🟢+🟡+⚪)")),AND(C56="⚪ Tùy chọn",'📋 Thông Tin'!$D$10="Nâng cao (🟢+🟡+⚪)"))),"✓ Có","✗ Không")</f>
        <v>✗ Không</v>
      </c>
      <c r="E56" s="18">
        <f>IF(D56="✓ Có",VLOOKUP(B56,'Hệ Số'!B:C,2,FALSE),0)</f>
        <v>0</v>
      </c>
      <c r="F56" s="12" t="s">
        <v>178</v>
      </c>
    </row>
    <row r="57" spans="1:6" ht="24" customHeight="1" x14ac:dyDescent="0.25">
      <c r="A57" s="5">
        <v>47</v>
      </c>
      <c r="B57" s="6" t="s">
        <v>179</v>
      </c>
      <c r="C57" s="19" t="s">
        <v>207</v>
      </c>
      <c r="D57" s="7" t="str">
        <f>IF(AND('📋 Thông Tin'!$B$10="Booking",OR(C57="🟢 Bắt buộc",AND(C57="🟡 Nên có",OR('📋 Thông Tin'!$D$10="Phổ thông (🟢+🟡)",'📋 Thông Tin'!$D$10="Nâng cao (🟢+🟡+⚪)")),AND(C57="⚪ Tùy chọn",'📋 Thông Tin'!$D$10="Nâng cao (🟢+🟡+⚪)"))),"✓ Có","✗ Không")</f>
        <v>✗ Không</v>
      </c>
      <c r="E57" s="16">
        <f>IF(D57="✓ Có",VLOOKUP(B57,'Hệ Số'!B:C,2,FALSE),0)</f>
        <v>0</v>
      </c>
      <c r="F57" s="8" t="s">
        <v>3</v>
      </c>
    </row>
    <row r="58" spans="1:6" ht="26.1" customHeight="1" x14ac:dyDescent="0.25">
      <c r="A58" s="39" t="s">
        <v>180</v>
      </c>
      <c r="B58" s="39"/>
      <c r="C58" s="39"/>
      <c r="D58" s="39"/>
      <c r="E58" s="39"/>
      <c r="F58" s="39"/>
    </row>
    <row r="59" spans="1:6" ht="24" customHeight="1" x14ac:dyDescent="0.25">
      <c r="A59" s="9">
        <v>48</v>
      </c>
      <c r="B59" s="10" t="s">
        <v>181</v>
      </c>
      <c r="C59" s="17" t="s">
        <v>206</v>
      </c>
      <c r="D59" s="11" t="str">
        <f>IF(AND('📋 Thông Tin'!$B$10="Booking",OR(C59="🟢 Bắt buộc",AND(C59="🟡 Nên có",OR('📋 Thông Tin'!$D$10="Phổ thông (🟢+🟡)",'📋 Thông Tin'!$D$10="Nâng cao (🟢+🟡+⚪)")),AND(C59="⚪ Tùy chọn",'📋 Thông Tin'!$D$10="Nâng cao (🟢+🟡+⚪)"))),"✓ Có","✗ Không")</f>
        <v>✗ Không</v>
      </c>
      <c r="E59" s="18">
        <f>IF(D59="✓ Có",VLOOKUP(B59,'Hệ Số'!B:C,2,FALSE),0)</f>
        <v>0</v>
      </c>
      <c r="F59" s="12" t="s">
        <v>182</v>
      </c>
    </row>
    <row r="60" spans="1:6" ht="24" customHeight="1" x14ac:dyDescent="0.25">
      <c r="A60" s="5">
        <v>49</v>
      </c>
      <c r="B60" s="6" t="s">
        <v>183</v>
      </c>
      <c r="C60" s="20" t="s">
        <v>206</v>
      </c>
      <c r="D60" s="7" t="str">
        <f>IF(AND('📋 Thông Tin'!$B$10="Booking",OR(C60="🟢 Bắt buộc",AND(C60="🟡 Nên có",OR('📋 Thông Tin'!$D$10="Phổ thông (🟢+🟡)",'📋 Thông Tin'!$D$10="Nâng cao (🟢+🟡+⚪)")),AND(C60="⚪ Tùy chọn",'📋 Thông Tin'!$D$10="Nâng cao (🟢+🟡+⚪)"))),"✓ Có","✗ Không")</f>
        <v>✗ Không</v>
      </c>
      <c r="E60" s="16">
        <f>IF(D60="✓ Có",VLOOKUP(B60,'Hệ Số'!B:C,2,FALSE),0)</f>
        <v>0</v>
      </c>
      <c r="F60" s="8" t="s">
        <v>3</v>
      </c>
    </row>
    <row r="61" spans="1:6" ht="24" customHeight="1" x14ac:dyDescent="0.25">
      <c r="A61" s="9">
        <v>50</v>
      </c>
      <c r="B61" s="10" t="s">
        <v>184</v>
      </c>
      <c r="C61" s="17" t="s">
        <v>206</v>
      </c>
      <c r="D61" s="11" t="str">
        <f>IF(AND('📋 Thông Tin'!$B$10="Booking",OR(C61="🟢 Bắt buộc",AND(C61="🟡 Nên có",OR('📋 Thông Tin'!$D$10="Phổ thông (🟢+🟡)",'📋 Thông Tin'!$D$10="Nâng cao (🟢+🟡+⚪)")),AND(C61="⚪ Tùy chọn",'📋 Thông Tin'!$D$10="Nâng cao (🟢+🟡+⚪)"))),"✓ Có","✗ Không")</f>
        <v>✗ Không</v>
      </c>
      <c r="E61" s="18">
        <f>IF(D61="✓ Có",VLOOKUP(B61,'Hệ Số'!B:C,2,FALSE),0)</f>
        <v>0</v>
      </c>
      <c r="F61" s="12" t="s">
        <v>185</v>
      </c>
    </row>
    <row r="62" spans="1:6" ht="24" customHeight="1" x14ac:dyDescent="0.25">
      <c r="A62" s="5">
        <v>51</v>
      </c>
      <c r="B62" s="6" t="s">
        <v>186</v>
      </c>
      <c r="C62" s="20" t="s">
        <v>206</v>
      </c>
      <c r="D62" s="7" t="str">
        <f>IF(AND('📋 Thông Tin'!$B$10="Booking",OR(C62="🟢 Bắt buộc",AND(C62="🟡 Nên có",OR('📋 Thông Tin'!$D$10="Phổ thông (🟢+🟡)",'📋 Thông Tin'!$D$10="Nâng cao (🟢+🟡+⚪)")),AND(C62="⚪ Tùy chọn",'📋 Thông Tin'!$D$10="Nâng cao (🟢+🟡+⚪)"))),"✓ Có","✗ Không")</f>
        <v>✗ Không</v>
      </c>
      <c r="E62" s="16">
        <f>IF(D62="✓ Có",VLOOKUP(B62,'Hệ Số'!B:C,2,FALSE),0)</f>
        <v>0</v>
      </c>
      <c r="F62" s="8" t="s">
        <v>187</v>
      </c>
    </row>
    <row r="63" spans="1:6" ht="24" customHeight="1" x14ac:dyDescent="0.25">
      <c r="A63" s="9">
        <v>52</v>
      </c>
      <c r="B63" s="10" t="s">
        <v>188</v>
      </c>
      <c r="C63" s="17" t="s">
        <v>206</v>
      </c>
      <c r="D63" s="11" t="str">
        <f>IF(AND('📋 Thông Tin'!$B$10="Booking",OR(C63="🟢 Bắt buộc",AND(C63="🟡 Nên có",OR('📋 Thông Tin'!$D$10="Phổ thông (🟢+🟡)",'📋 Thông Tin'!$D$10="Nâng cao (🟢+🟡+⚪)")),AND(C63="⚪ Tùy chọn",'📋 Thông Tin'!$D$10="Nâng cao (🟢+🟡+⚪)"))),"✓ Có","✗ Không")</f>
        <v>✗ Không</v>
      </c>
      <c r="E63" s="18">
        <f>IF(D63="✓ Có",VLOOKUP(B63,'Hệ Số'!B:C,2,FALSE),0)</f>
        <v>0</v>
      </c>
      <c r="F63" s="12" t="s">
        <v>189</v>
      </c>
    </row>
    <row r="64" spans="1:6" ht="24" customHeight="1" x14ac:dyDescent="0.25">
      <c r="A64" s="5">
        <v>53</v>
      </c>
      <c r="B64" s="6" t="s">
        <v>190</v>
      </c>
      <c r="C64" s="20" t="s">
        <v>206</v>
      </c>
      <c r="D64" s="7" t="str">
        <f>IF(AND('📋 Thông Tin'!$B$10="Booking",OR(C64="🟢 Bắt buộc",AND(C64="🟡 Nên có",OR('📋 Thông Tin'!$D$10="Phổ thông (🟢+🟡)",'📋 Thông Tin'!$D$10="Nâng cao (🟢+🟡+⚪)")),AND(C64="⚪ Tùy chọn",'📋 Thông Tin'!$D$10="Nâng cao (🟢+🟡+⚪)"))),"✓ Có","✗ Không")</f>
        <v>✗ Không</v>
      </c>
      <c r="E64" s="16">
        <f>IF(D64="✓ Có",VLOOKUP(B64,'Hệ Số'!B:C,2,FALSE),0)</f>
        <v>0</v>
      </c>
      <c r="F64" s="8" t="s">
        <v>3</v>
      </c>
    </row>
    <row r="65" spans="1:6" ht="24" customHeight="1" x14ac:dyDescent="0.25">
      <c r="A65" s="9">
        <v>54</v>
      </c>
      <c r="B65" s="10" t="s">
        <v>191</v>
      </c>
      <c r="C65" s="17" t="s">
        <v>206</v>
      </c>
      <c r="D65" s="11" t="str">
        <f>IF(AND('📋 Thông Tin'!$B$10="Booking",OR(C65="🟢 Bắt buộc",AND(C65="🟡 Nên có",OR('📋 Thông Tin'!$D$10="Phổ thông (🟢+🟡)",'📋 Thông Tin'!$D$10="Nâng cao (🟢+🟡+⚪)")),AND(C65="⚪ Tùy chọn",'📋 Thông Tin'!$D$10="Nâng cao (🟢+🟡+⚪)"))),"✓ Có","✗ Không")</f>
        <v>✗ Không</v>
      </c>
      <c r="E65" s="18">
        <f>IF(D65="✓ Có",VLOOKUP(B65,'Hệ Số'!B:C,2,FALSE),0)</f>
        <v>0</v>
      </c>
      <c r="F65" s="12" t="s">
        <v>192</v>
      </c>
    </row>
    <row r="66" spans="1:6" ht="24" customHeight="1" x14ac:dyDescent="0.25">
      <c r="A66" s="5">
        <v>55</v>
      </c>
      <c r="B66" s="6" t="s">
        <v>193</v>
      </c>
      <c r="C66" s="20" t="s">
        <v>206</v>
      </c>
      <c r="D66" s="7" t="str">
        <f>IF(AND('📋 Thông Tin'!$B$10="Booking",OR(C66="🟢 Bắt buộc",AND(C66="🟡 Nên có",OR('📋 Thông Tin'!$D$10="Phổ thông (🟢+🟡)",'📋 Thông Tin'!$D$10="Nâng cao (🟢+🟡+⚪)")),AND(C66="⚪ Tùy chọn",'📋 Thông Tin'!$D$10="Nâng cao (🟢+🟡+⚪)"))),"✓ Có","✗ Không")</f>
        <v>✗ Không</v>
      </c>
      <c r="E66" s="16">
        <f>IF(D66="✓ Có",VLOOKUP(B66,'Hệ Số'!B:C,2,FALSE),0)</f>
        <v>0</v>
      </c>
      <c r="F66" s="8" t="s">
        <v>3</v>
      </c>
    </row>
    <row r="67" spans="1:6" ht="24" customHeight="1" x14ac:dyDescent="0.25">
      <c r="A67" s="9">
        <v>56</v>
      </c>
      <c r="B67" s="10" t="s">
        <v>194</v>
      </c>
      <c r="C67" s="17" t="s">
        <v>206</v>
      </c>
      <c r="D67" s="11" t="str">
        <f>IF(AND('📋 Thông Tin'!$B$10="Booking",OR(C67="🟢 Bắt buộc",AND(C67="🟡 Nên có",OR('📋 Thông Tin'!$D$10="Phổ thông (🟢+🟡)",'📋 Thông Tin'!$D$10="Nâng cao (🟢+🟡+⚪)")),AND(C67="⚪ Tùy chọn",'📋 Thông Tin'!$D$10="Nâng cao (🟢+🟡+⚪)"))),"✓ Có","✗ Không")</f>
        <v>✗ Không</v>
      </c>
      <c r="E67" s="18">
        <f>IF(D67="✓ Có",VLOOKUP(B67,'Hệ Số'!B:C,2,FALSE),0)</f>
        <v>0</v>
      </c>
      <c r="F67" s="12" t="s">
        <v>3</v>
      </c>
    </row>
    <row r="68" spans="1:6" ht="24" customHeight="1" x14ac:dyDescent="0.25">
      <c r="A68" s="5">
        <v>57</v>
      </c>
      <c r="B68" s="6" t="s">
        <v>195</v>
      </c>
      <c r="C68" s="20" t="s">
        <v>206</v>
      </c>
      <c r="D68" s="7" t="str">
        <f>IF(AND('📋 Thông Tin'!$B$10="Booking",OR(C68="🟢 Bắt buộc",AND(C68="🟡 Nên có",OR('📋 Thông Tin'!$D$10="Phổ thông (🟢+🟡)",'📋 Thông Tin'!$D$10="Nâng cao (🟢+🟡+⚪)")),AND(C68="⚪ Tùy chọn",'📋 Thông Tin'!$D$10="Nâng cao (🟢+🟡+⚪)"))),"✓ Có","✗ Không")</f>
        <v>✗ Không</v>
      </c>
      <c r="E68" s="16">
        <f>IF(D68="✓ Có",VLOOKUP(B68,'Hệ Số'!B:C,2,FALSE),0)</f>
        <v>0</v>
      </c>
      <c r="F68" s="8" t="s">
        <v>3</v>
      </c>
    </row>
    <row r="69" spans="1:6" ht="26.1" customHeight="1" x14ac:dyDescent="0.25">
      <c r="A69" s="39" t="s">
        <v>196</v>
      </c>
      <c r="B69" s="39"/>
      <c r="C69" s="39"/>
      <c r="D69" s="39"/>
      <c r="E69" s="39"/>
      <c r="F69" s="39"/>
    </row>
    <row r="70" spans="1:6" ht="24" customHeight="1" x14ac:dyDescent="0.25">
      <c r="A70" s="9">
        <v>58</v>
      </c>
      <c r="B70" s="10" t="s">
        <v>197</v>
      </c>
      <c r="C70" s="17" t="s">
        <v>206</v>
      </c>
      <c r="D70" s="11" t="str">
        <f>IF(AND('📋 Thông Tin'!$B$10="Booking",OR(C70="🟢 Bắt buộc",AND(C70="🟡 Nên có",OR('📋 Thông Tin'!$D$10="Phổ thông (🟢+🟡)",'📋 Thông Tin'!$D$10="Nâng cao (🟢+🟡+⚪)")),AND(C70="⚪ Tùy chọn",'📋 Thông Tin'!$D$10="Nâng cao (🟢+🟡+⚪)"))),"✓ Có","✗ Không")</f>
        <v>✗ Không</v>
      </c>
      <c r="E70" s="18">
        <f>IF(D70="✓ Có",VLOOKUP(B70,'Hệ Số'!B:C,2,FALSE),0)</f>
        <v>0</v>
      </c>
      <c r="F70" s="12" t="s">
        <v>198</v>
      </c>
    </row>
    <row r="71" spans="1:6" ht="24" customHeight="1" x14ac:dyDescent="0.25">
      <c r="A71" s="5">
        <v>59</v>
      </c>
      <c r="B71" s="6" t="s">
        <v>199</v>
      </c>
      <c r="C71" s="20" t="s">
        <v>206</v>
      </c>
      <c r="D71" s="7" t="str">
        <f>IF(AND('📋 Thông Tin'!$B$10="Booking",OR(C71="🟢 Bắt buộc",AND(C71="🟡 Nên có",OR('📋 Thông Tin'!$D$10="Phổ thông (🟢+🟡)",'📋 Thông Tin'!$D$10="Nâng cao (🟢+🟡+⚪)")),AND(C71="⚪ Tùy chọn",'📋 Thông Tin'!$D$10="Nâng cao (🟢+🟡+⚪)"))),"✓ Có","✗ Không")</f>
        <v>✗ Không</v>
      </c>
      <c r="E71" s="16">
        <f>IF(D71="✓ Có",VLOOKUP(B71,'Hệ Số'!B:C,2,FALSE),0)</f>
        <v>0</v>
      </c>
      <c r="F71" s="8" t="s">
        <v>3</v>
      </c>
    </row>
    <row r="72" spans="1:6" ht="24" customHeight="1" x14ac:dyDescent="0.25">
      <c r="A72" s="9">
        <v>60</v>
      </c>
      <c r="B72" s="10" t="s">
        <v>200</v>
      </c>
      <c r="C72" s="17" t="s">
        <v>206</v>
      </c>
      <c r="D72" s="11" t="str">
        <f>IF(AND('📋 Thông Tin'!$B$10="Booking",OR(C72="🟢 Bắt buộc",AND(C72="🟡 Nên có",OR('📋 Thông Tin'!$D$10="Phổ thông (🟢+🟡)",'📋 Thông Tin'!$D$10="Nâng cao (🟢+🟡+⚪)")),AND(C72="⚪ Tùy chọn",'📋 Thông Tin'!$D$10="Nâng cao (🟢+🟡+⚪)"))),"✓ Có","✗ Không")</f>
        <v>✗ Không</v>
      </c>
      <c r="E72" s="18">
        <f>IF(D72="✓ Có",VLOOKUP(B72,'Hệ Số'!B:C,2,FALSE),0)</f>
        <v>0</v>
      </c>
      <c r="F72" s="12" t="s">
        <v>3</v>
      </c>
    </row>
    <row r="73" spans="1:6" ht="24" customHeight="1" x14ac:dyDescent="0.25">
      <c r="A73" s="5">
        <v>61</v>
      </c>
      <c r="B73" s="6" t="s">
        <v>201</v>
      </c>
      <c r="C73" s="19" t="s">
        <v>207</v>
      </c>
      <c r="D73" s="7" t="str">
        <f>IF(AND('📋 Thông Tin'!$B$10="Booking",OR(C73="🟢 Bắt buộc",AND(C73="🟡 Nên có",OR('📋 Thông Tin'!$D$10="Phổ thông (🟢+🟡)",'📋 Thông Tin'!$D$10="Nâng cao (🟢+🟡+⚪)")),AND(C73="⚪ Tùy chọn",'📋 Thông Tin'!$D$10="Nâng cao (🟢+🟡+⚪)"))),"✓ Có","✗ Không")</f>
        <v>✗ Không</v>
      </c>
      <c r="E73" s="16">
        <f>IF(D73="✓ Có",VLOOKUP(B73,'Hệ Số'!B:C,2,FALSE),0)</f>
        <v>0</v>
      </c>
      <c r="F73" s="8" t="s">
        <v>3</v>
      </c>
    </row>
    <row r="76" spans="1:6" ht="32.1" customHeight="1" x14ac:dyDescent="0.25">
      <c r="A76" s="35" t="s">
        <v>208</v>
      </c>
      <c r="B76" s="35"/>
      <c r="C76" s="35"/>
      <c r="D76" s="35"/>
      <c r="E76" s="35"/>
      <c r="F76" s="35"/>
    </row>
    <row r="77" spans="1:6" ht="30" customHeight="1" x14ac:dyDescent="0.25">
      <c r="A77" s="46" t="s">
        <v>209</v>
      </c>
      <c r="B77" s="46"/>
      <c r="C77" s="21"/>
      <c r="D77" s="21"/>
      <c r="E77" s="47">
        <f>SUM(E5:E73)</f>
        <v>0</v>
      </c>
      <c r="F77" s="47"/>
    </row>
    <row r="78" spans="1:6" ht="30" customHeight="1" x14ac:dyDescent="0.25">
      <c r="A78" s="46" t="s">
        <v>210</v>
      </c>
      <c r="B78" s="46"/>
      <c r="C78" s="21"/>
      <c r="D78" s="21"/>
      <c r="E78" s="47">
        <f>E77*1.5</f>
        <v>0</v>
      </c>
      <c r="F78" s="47"/>
    </row>
    <row r="79" spans="1:6" ht="30" customHeight="1" x14ac:dyDescent="0.25">
      <c r="A79" s="46" t="s">
        <v>211</v>
      </c>
      <c r="B79" s="46"/>
      <c r="C79" s="21"/>
      <c r="D79" s="21"/>
      <c r="E79" s="47">
        <f>CEILING(E78/8,1)</f>
        <v>0</v>
      </c>
      <c r="F79" s="47"/>
    </row>
    <row r="80" spans="1:6" ht="30" customHeight="1" x14ac:dyDescent="0.25">
      <c r="A80" s="42" t="s">
        <v>212</v>
      </c>
      <c r="B80" s="42"/>
      <c r="C80" s="22"/>
      <c r="D80" s="22"/>
      <c r="E80" s="43">
        <f>E79*1000000</f>
        <v>0</v>
      </c>
      <c r="F80" s="43"/>
    </row>
    <row r="82" spans="1:6" ht="26.1" customHeight="1" x14ac:dyDescent="0.25">
      <c r="A82" s="44" t="s">
        <v>213</v>
      </c>
      <c r="B82" s="44"/>
      <c r="C82" s="23"/>
      <c r="D82" s="23"/>
      <c r="E82" s="45">
        <f>E80*0.4</f>
        <v>0</v>
      </c>
      <c r="F82" s="45"/>
    </row>
    <row r="83" spans="1:6" ht="26.1" customHeight="1" x14ac:dyDescent="0.25">
      <c r="A83" s="44" t="s">
        <v>214</v>
      </c>
      <c r="B83" s="44"/>
      <c r="C83" s="23"/>
      <c r="D83" s="23"/>
      <c r="E83" s="45">
        <f>E80*0.6</f>
        <v>0</v>
      </c>
      <c r="F83" s="45"/>
    </row>
    <row r="85" spans="1:6" ht="24" customHeight="1" x14ac:dyDescent="0.25">
      <c r="A85" s="41" t="s">
        <v>215</v>
      </c>
      <c r="B85" s="41"/>
      <c r="C85" s="41"/>
      <c r="D85" s="41"/>
      <c r="E85" s="41"/>
      <c r="F85" s="41"/>
    </row>
  </sheetData>
  <mergeCells count="24">
    <mergeCell ref="A1:F1"/>
    <mergeCell ref="A4:F4"/>
    <mergeCell ref="A14:F14"/>
    <mergeCell ref="A25:F25"/>
    <mergeCell ref="A30:F30"/>
    <mergeCell ref="A36:F36"/>
    <mergeCell ref="A40:F40"/>
    <mergeCell ref="A46:F46"/>
    <mergeCell ref="A58:F58"/>
    <mergeCell ref="A69:F69"/>
    <mergeCell ref="A76:F76"/>
    <mergeCell ref="A77:B77"/>
    <mergeCell ref="E77:F77"/>
    <mergeCell ref="A78:B78"/>
    <mergeCell ref="E78:F78"/>
    <mergeCell ref="A83:B83"/>
    <mergeCell ref="E83:F83"/>
    <mergeCell ref="A85:F85"/>
    <mergeCell ref="A79:B79"/>
    <mergeCell ref="E79:F79"/>
    <mergeCell ref="A80:B80"/>
    <mergeCell ref="E80:F80"/>
    <mergeCell ref="A82:B82"/>
    <mergeCell ref="E82:F82"/>
  </mergeCells>
  <pageMargins left="0.7" right="0.7" top="0.75" bottom="0.75" header="0.3" footer="0.3"/>
  <pageSetup paperSize="9" orientation="landscape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0B27A"/>
    <pageSetUpPr fitToPage="1"/>
  </sheetPr>
  <dimension ref="A1:F71"/>
  <sheetViews>
    <sheetView workbookViewId="0">
      <selection sqref="A1:F1"/>
    </sheetView>
  </sheetViews>
  <sheetFormatPr defaultRowHeight="15" x14ac:dyDescent="0.25"/>
  <cols>
    <col min="1" max="1" width="5" customWidth="1"/>
    <col min="2" max="2" width="38" customWidth="1"/>
    <col min="3" max="3" width="14" customWidth="1"/>
    <col min="4" max="4" width="12" customWidth="1"/>
    <col min="5" max="5" width="10" customWidth="1"/>
    <col min="6" max="6" width="28" customWidth="1"/>
  </cols>
  <sheetData>
    <row r="1" spans="1:6" ht="36" customHeight="1" x14ac:dyDescent="0.25">
      <c r="A1" s="40" t="s">
        <v>221</v>
      </c>
      <c r="B1" s="40"/>
      <c r="C1" s="40"/>
      <c r="D1" s="40"/>
      <c r="E1" s="40"/>
      <c r="F1" s="40"/>
    </row>
    <row r="3" spans="1:6" ht="26.1" customHeight="1" x14ac:dyDescent="0.25">
      <c r="A3" s="4" t="s">
        <v>15</v>
      </c>
      <c r="B3" s="4" t="s">
        <v>88</v>
      </c>
      <c r="C3" s="4" t="s">
        <v>203</v>
      </c>
      <c r="D3" s="4" t="s">
        <v>204</v>
      </c>
      <c r="E3" s="4" t="s">
        <v>89</v>
      </c>
      <c r="F3" s="4" t="s">
        <v>90</v>
      </c>
    </row>
    <row r="4" spans="1:6" ht="26.1" customHeight="1" x14ac:dyDescent="0.25">
      <c r="A4" s="39" t="s">
        <v>91</v>
      </c>
      <c r="B4" s="39"/>
      <c r="C4" s="39"/>
      <c r="D4" s="39"/>
      <c r="E4" s="39"/>
      <c r="F4" s="39"/>
    </row>
    <row r="5" spans="1:6" ht="24" customHeight="1" x14ac:dyDescent="0.25">
      <c r="A5" s="5">
        <v>1</v>
      </c>
      <c r="B5" s="6" t="s">
        <v>92</v>
      </c>
      <c r="C5" s="15" t="s">
        <v>205</v>
      </c>
      <c r="D5" s="7" t="str">
        <f>IF(AND('📋 Thông Tin'!$B$10="Blog - Tạp Chí",OR(C5="🟢 Bắt buộc",AND(C5="🟡 Nên có",OR('📋 Thông Tin'!$D$10="Phổ thông (🟢+🟡)",'📋 Thông Tin'!$D$10="Nâng cao (🟢+🟡+⚪)")),AND(C5="⚪ Tùy chọn",'📋 Thông Tin'!$D$10="Nâng cao (🟢+🟡+⚪)"))),"✓ Có","✗ Không")</f>
        <v>✗ Không</v>
      </c>
      <c r="E5" s="16">
        <f>IF(D5="✓ Có",VLOOKUP(B5,'Hệ Số'!B:C,2,FALSE),0)</f>
        <v>0</v>
      </c>
      <c r="F5" s="8" t="s">
        <v>3</v>
      </c>
    </row>
    <row r="6" spans="1:6" ht="24" customHeight="1" x14ac:dyDescent="0.25">
      <c r="A6" s="9">
        <v>2</v>
      </c>
      <c r="B6" s="10" t="s">
        <v>93</v>
      </c>
      <c r="C6" s="19" t="s">
        <v>207</v>
      </c>
      <c r="D6" s="11" t="str">
        <f>IF(AND('📋 Thông Tin'!$B$10="Blog - Tạp Chí",OR(C6="🟢 Bắt buộc",AND(C6="🟡 Nên có",OR('📋 Thông Tin'!$D$10="Phổ thông (🟢+🟡)",'📋 Thông Tin'!$D$10="Nâng cao (🟢+🟡+⚪)")),AND(C6="⚪ Tùy chọn",'📋 Thông Tin'!$D$10="Nâng cao (🟢+🟡+⚪)"))),"✓ Có","✗ Không")</f>
        <v>✗ Không</v>
      </c>
      <c r="E6" s="18">
        <f>IF(D6="✓ Có",VLOOKUP(B6,'Hệ Số'!B:C,2,FALSE),0)</f>
        <v>0</v>
      </c>
      <c r="F6" s="12" t="s">
        <v>3</v>
      </c>
    </row>
    <row r="7" spans="1:6" ht="24" customHeight="1" x14ac:dyDescent="0.25">
      <c r="A7" s="5">
        <v>3</v>
      </c>
      <c r="B7" s="6" t="s">
        <v>94</v>
      </c>
      <c r="C7" s="20" t="s">
        <v>206</v>
      </c>
      <c r="D7" s="7" t="str">
        <f>IF(AND('📋 Thông Tin'!$B$10="Blog - Tạp Chí",OR(C7="🟢 Bắt buộc",AND(C7="🟡 Nên có",OR('📋 Thông Tin'!$D$10="Phổ thông (🟢+🟡)",'📋 Thông Tin'!$D$10="Nâng cao (🟢+🟡+⚪)")),AND(C7="⚪ Tùy chọn",'📋 Thông Tin'!$D$10="Nâng cao (🟢+🟡+⚪)"))),"✓ Có","✗ Không")</f>
        <v>✗ Không</v>
      </c>
      <c r="E7" s="16">
        <f>IF(D7="✓ Có",VLOOKUP(B7,'Hệ Số'!B:C,2,FALSE),0)</f>
        <v>0</v>
      </c>
      <c r="F7" s="8" t="s">
        <v>3</v>
      </c>
    </row>
    <row r="8" spans="1:6" ht="24" customHeight="1" x14ac:dyDescent="0.25">
      <c r="A8" s="9">
        <v>4</v>
      </c>
      <c r="B8" s="10" t="s">
        <v>95</v>
      </c>
      <c r="C8" s="15" t="s">
        <v>205</v>
      </c>
      <c r="D8" s="11" t="str">
        <f>IF(AND('📋 Thông Tin'!$B$10="Blog - Tạp Chí",OR(C8="🟢 Bắt buộc",AND(C8="🟡 Nên có",OR('📋 Thông Tin'!$D$10="Phổ thông (🟢+🟡)",'📋 Thông Tin'!$D$10="Nâng cao (🟢+🟡+⚪)")),AND(C8="⚪ Tùy chọn",'📋 Thông Tin'!$D$10="Nâng cao (🟢+🟡+⚪)"))),"✓ Có","✗ Không")</f>
        <v>✗ Không</v>
      </c>
      <c r="E8" s="18">
        <f>IF(D8="✓ Có",VLOOKUP(B8,'Hệ Số'!B:C,2,FALSE),0)</f>
        <v>0</v>
      </c>
      <c r="F8" s="12" t="s">
        <v>3</v>
      </c>
    </row>
    <row r="9" spans="1:6" ht="24" customHeight="1" x14ac:dyDescent="0.25">
      <c r="A9" s="5">
        <v>5</v>
      </c>
      <c r="B9" s="6" t="s">
        <v>96</v>
      </c>
      <c r="C9" s="15" t="s">
        <v>205</v>
      </c>
      <c r="D9" s="7" t="str">
        <f>IF(AND('📋 Thông Tin'!$B$10="Blog - Tạp Chí",OR(C9="🟢 Bắt buộc",AND(C9="🟡 Nên có",OR('📋 Thông Tin'!$D$10="Phổ thông (🟢+🟡)",'📋 Thông Tin'!$D$10="Nâng cao (🟢+🟡+⚪)")),AND(C9="⚪ Tùy chọn",'📋 Thông Tin'!$D$10="Nâng cao (🟢+🟡+⚪)"))),"✓ Có","✗ Không")</f>
        <v>✗ Không</v>
      </c>
      <c r="E9" s="16">
        <f>IF(D9="✓ Có",VLOOKUP(B9,'Hệ Số'!B:C,2,FALSE),0)</f>
        <v>0</v>
      </c>
      <c r="F9" s="8" t="s">
        <v>97</v>
      </c>
    </row>
    <row r="10" spans="1:6" ht="24" customHeight="1" x14ac:dyDescent="0.25">
      <c r="A10" s="9">
        <v>6</v>
      </c>
      <c r="B10" s="10" t="s">
        <v>98</v>
      </c>
      <c r="C10" s="17" t="s">
        <v>206</v>
      </c>
      <c r="D10" s="11" t="str">
        <f>IF(AND('📋 Thông Tin'!$B$10="Blog - Tạp Chí",OR(C10="🟢 Bắt buộc",AND(C10="🟡 Nên có",OR('📋 Thông Tin'!$D$10="Phổ thông (🟢+🟡)",'📋 Thông Tin'!$D$10="Nâng cao (🟢+🟡+⚪)")),AND(C10="⚪ Tùy chọn",'📋 Thông Tin'!$D$10="Nâng cao (🟢+🟡+⚪)"))),"✓ Có","✗ Không")</f>
        <v>✗ Không</v>
      </c>
      <c r="E10" s="18">
        <f>IF(D10="✓ Có",VLOOKUP(B10,'Hệ Số'!B:C,2,FALSE),0)</f>
        <v>0</v>
      </c>
      <c r="F10" s="12" t="s">
        <v>3</v>
      </c>
    </row>
    <row r="11" spans="1:6" ht="24" customHeight="1" x14ac:dyDescent="0.25">
      <c r="A11" s="5">
        <v>7</v>
      </c>
      <c r="B11" s="6" t="s">
        <v>99</v>
      </c>
      <c r="C11" s="20" t="s">
        <v>206</v>
      </c>
      <c r="D11" s="7" t="str">
        <f>IF(AND('📋 Thông Tin'!$B$10="Blog - Tạp Chí",OR(C11="🟢 Bắt buộc",AND(C11="🟡 Nên có",OR('📋 Thông Tin'!$D$10="Phổ thông (🟢+🟡)",'📋 Thông Tin'!$D$10="Nâng cao (🟢+🟡+⚪)")),AND(C11="⚪ Tùy chọn",'📋 Thông Tin'!$D$10="Nâng cao (🟢+🟡+⚪)"))),"✓ Có","✗ Không")</f>
        <v>✗ Không</v>
      </c>
      <c r="E11" s="16">
        <f>IF(D11="✓ Có",VLOOKUP(B11,'Hệ Số'!B:C,2,FALSE),0)</f>
        <v>0</v>
      </c>
      <c r="F11" s="8" t="s">
        <v>100</v>
      </c>
    </row>
    <row r="12" spans="1:6" ht="24" customHeight="1" x14ac:dyDescent="0.25">
      <c r="A12" s="9">
        <v>8</v>
      </c>
      <c r="B12" s="10" t="s">
        <v>102</v>
      </c>
      <c r="C12" s="17" t="s">
        <v>206</v>
      </c>
      <c r="D12" s="11" t="str">
        <f>IF(AND('📋 Thông Tin'!$B$10="Blog - Tạp Chí",OR(C12="🟢 Bắt buộc",AND(C12="🟡 Nên có",OR('📋 Thông Tin'!$D$10="Phổ thông (🟢+🟡)",'📋 Thông Tin'!$D$10="Nâng cao (🟢+🟡+⚪)")),AND(C12="⚪ Tùy chọn",'📋 Thông Tin'!$D$10="Nâng cao (🟢+🟡+⚪)"))),"✓ Có","✗ Không")</f>
        <v>✗ Không</v>
      </c>
      <c r="E12" s="18">
        <f>IF(D12="✓ Có",VLOOKUP(B12,'Hệ Số'!B:C,2,FALSE),0)</f>
        <v>0</v>
      </c>
      <c r="F12" s="12" t="s">
        <v>103</v>
      </c>
    </row>
    <row r="13" spans="1:6" ht="26.1" customHeight="1" x14ac:dyDescent="0.25">
      <c r="A13" s="39" t="s">
        <v>104</v>
      </c>
      <c r="B13" s="39"/>
      <c r="C13" s="39"/>
      <c r="D13" s="39"/>
      <c r="E13" s="39"/>
      <c r="F13" s="39"/>
    </row>
    <row r="14" spans="1:6" ht="24" customHeight="1" x14ac:dyDescent="0.25">
      <c r="A14" s="5">
        <v>9</v>
      </c>
      <c r="B14" s="6" t="s">
        <v>109</v>
      </c>
      <c r="C14" s="20" t="s">
        <v>206</v>
      </c>
      <c r="D14" s="7" t="str">
        <f>IF(AND('📋 Thông Tin'!$B$10="Blog - Tạp Chí",OR(C14="🟢 Bắt buộc",AND(C14="🟡 Nên có",OR('📋 Thông Tin'!$D$10="Phổ thông (🟢+🟡)",'📋 Thông Tin'!$D$10="Nâng cao (🟢+🟡+⚪)")),AND(C14="⚪ Tùy chọn",'📋 Thông Tin'!$D$10="Nâng cao (🟢+🟡+⚪)"))),"✓ Có","✗ Không")</f>
        <v>✗ Không</v>
      </c>
      <c r="E14" s="16">
        <f>IF(D14="✓ Có",VLOOKUP(B14,'Hệ Số'!B:C,2,FALSE),0)</f>
        <v>0</v>
      </c>
      <c r="F14" s="8" t="s">
        <v>110</v>
      </c>
    </row>
    <row r="15" spans="1:6" ht="24" customHeight="1" x14ac:dyDescent="0.25">
      <c r="A15" s="9">
        <v>10</v>
      </c>
      <c r="B15" s="10" t="s">
        <v>111</v>
      </c>
      <c r="C15" s="17" t="s">
        <v>206</v>
      </c>
      <c r="D15" s="11" t="str">
        <f>IF(AND('📋 Thông Tin'!$B$10="Blog - Tạp Chí",OR(C15="🟢 Bắt buộc",AND(C15="🟡 Nên có",OR('📋 Thông Tin'!$D$10="Phổ thông (🟢+🟡)",'📋 Thông Tin'!$D$10="Nâng cao (🟢+🟡+⚪)")),AND(C15="⚪ Tùy chọn",'📋 Thông Tin'!$D$10="Nâng cao (🟢+🟡+⚪)"))),"✓ Có","✗ Không")</f>
        <v>✗ Không</v>
      </c>
      <c r="E15" s="18">
        <f>IF(D15="✓ Có",VLOOKUP(B15,'Hệ Số'!B:C,2,FALSE),0)</f>
        <v>0</v>
      </c>
      <c r="F15" s="12" t="s">
        <v>112</v>
      </c>
    </row>
    <row r="16" spans="1:6" ht="24" customHeight="1" x14ac:dyDescent="0.25">
      <c r="A16" s="5">
        <v>11</v>
      </c>
      <c r="B16" s="6" t="s">
        <v>113</v>
      </c>
      <c r="C16" s="15" t="s">
        <v>205</v>
      </c>
      <c r="D16" s="7" t="str">
        <f>IF(AND('📋 Thông Tin'!$B$10="Blog - Tạp Chí",OR(C16="🟢 Bắt buộc",AND(C16="🟡 Nên có",OR('📋 Thông Tin'!$D$10="Phổ thông (🟢+🟡)",'📋 Thông Tin'!$D$10="Nâng cao (🟢+🟡+⚪)")),AND(C16="⚪ Tùy chọn",'📋 Thông Tin'!$D$10="Nâng cao (🟢+🟡+⚪)"))),"✓ Có","✗ Không")</f>
        <v>✗ Không</v>
      </c>
      <c r="E16" s="16">
        <f>IF(D16="✓ Có",VLOOKUP(B16,'Hệ Số'!B:C,2,FALSE),0)</f>
        <v>0</v>
      </c>
      <c r="F16" s="8" t="s">
        <v>114</v>
      </c>
    </row>
    <row r="17" spans="1:6" ht="24" customHeight="1" x14ac:dyDescent="0.25">
      <c r="A17" s="9">
        <v>12</v>
      </c>
      <c r="B17" s="10" t="s">
        <v>115</v>
      </c>
      <c r="C17" s="17" t="s">
        <v>206</v>
      </c>
      <c r="D17" s="11" t="str">
        <f>IF(AND('📋 Thông Tin'!$B$10="Blog - Tạp Chí",OR(C17="🟢 Bắt buộc",AND(C17="🟡 Nên có",OR('📋 Thông Tin'!$D$10="Phổ thông (🟢+🟡)",'📋 Thông Tin'!$D$10="Nâng cao (🟢+🟡+⚪)")),AND(C17="⚪ Tùy chọn",'📋 Thông Tin'!$D$10="Nâng cao (🟢+🟡+⚪)"))),"✓ Có","✗ Không")</f>
        <v>✗ Không</v>
      </c>
      <c r="E17" s="18">
        <f>IF(D17="✓ Có",VLOOKUP(B17,'Hệ Số'!B:C,2,FALSE),0)</f>
        <v>0</v>
      </c>
      <c r="F17" s="12" t="s">
        <v>116</v>
      </c>
    </row>
    <row r="18" spans="1:6" ht="24" customHeight="1" x14ac:dyDescent="0.25">
      <c r="A18" s="5">
        <v>13</v>
      </c>
      <c r="B18" s="6" t="s">
        <v>117</v>
      </c>
      <c r="C18" s="20" t="s">
        <v>206</v>
      </c>
      <c r="D18" s="7" t="str">
        <f>IF(AND('📋 Thông Tin'!$B$10="Blog - Tạp Chí",OR(C18="🟢 Bắt buộc",AND(C18="🟡 Nên có",OR('📋 Thông Tin'!$D$10="Phổ thông (🟢+🟡)",'📋 Thông Tin'!$D$10="Nâng cao (🟢+🟡+⚪)")),AND(C18="⚪ Tùy chọn",'📋 Thông Tin'!$D$10="Nâng cao (🟢+🟡+⚪)"))),"✓ Có","✗ Không")</f>
        <v>✗ Không</v>
      </c>
      <c r="E18" s="16">
        <f>IF(D18="✓ Có",VLOOKUP(B18,'Hệ Số'!B:C,2,FALSE),0)</f>
        <v>0</v>
      </c>
      <c r="F18" s="8" t="s">
        <v>118</v>
      </c>
    </row>
    <row r="19" spans="1:6" ht="24" customHeight="1" x14ac:dyDescent="0.25">
      <c r="A19" s="9">
        <v>14</v>
      </c>
      <c r="B19" s="10" t="s">
        <v>119</v>
      </c>
      <c r="C19" s="17" t="s">
        <v>206</v>
      </c>
      <c r="D19" s="11" t="str">
        <f>IF(AND('📋 Thông Tin'!$B$10="Blog - Tạp Chí",OR(C19="🟢 Bắt buộc",AND(C19="🟡 Nên có",OR('📋 Thông Tin'!$D$10="Phổ thông (🟢+🟡)",'📋 Thông Tin'!$D$10="Nâng cao (🟢+🟡+⚪)")),AND(C19="⚪ Tùy chọn",'📋 Thông Tin'!$D$10="Nâng cao (🟢+🟡+⚪)"))),"✓ Có","✗ Không")</f>
        <v>✗ Không</v>
      </c>
      <c r="E19" s="18">
        <f>IF(D19="✓ Có",VLOOKUP(B19,'Hệ Số'!B:C,2,FALSE),0)</f>
        <v>0</v>
      </c>
      <c r="F19" s="12" t="s">
        <v>3</v>
      </c>
    </row>
    <row r="20" spans="1:6" ht="24" customHeight="1" x14ac:dyDescent="0.25">
      <c r="A20" s="5">
        <v>15</v>
      </c>
      <c r="B20" s="6" t="s">
        <v>120</v>
      </c>
      <c r="C20" s="20" t="s">
        <v>206</v>
      </c>
      <c r="D20" s="7" t="str">
        <f>IF(AND('📋 Thông Tin'!$B$10="Blog - Tạp Chí",OR(C20="🟢 Bắt buộc",AND(C20="🟡 Nên có",OR('📋 Thông Tin'!$D$10="Phổ thông (🟢+🟡)",'📋 Thông Tin'!$D$10="Nâng cao (🟢+🟡+⚪)")),AND(C20="⚪ Tùy chọn",'📋 Thông Tin'!$D$10="Nâng cao (🟢+🟡+⚪)"))),"✓ Có","✗ Không")</f>
        <v>✗ Không</v>
      </c>
      <c r="E20" s="16">
        <f>IF(D20="✓ Có",VLOOKUP(B20,'Hệ Số'!B:C,2,FALSE),0)</f>
        <v>0</v>
      </c>
      <c r="F20" s="8" t="s">
        <v>121</v>
      </c>
    </row>
    <row r="21" spans="1:6" ht="24" customHeight="1" x14ac:dyDescent="0.25">
      <c r="A21" s="9">
        <v>16</v>
      </c>
      <c r="B21" s="10" t="s">
        <v>122</v>
      </c>
      <c r="C21" s="17" t="s">
        <v>206</v>
      </c>
      <c r="D21" s="11" t="str">
        <f>IF(AND('📋 Thông Tin'!$B$10="Blog - Tạp Chí",OR(C21="🟢 Bắt buộc",AND(C21="🟡 Nên có",OR('📋 Thông Tin'!$D$10="Phổ thông (🟢+🟡)",'📋 Thông Tin'!$D$10="Nâng cao (🟢+🟡+⚪)")),AND(C21="⚪ Tùy chọn",'📋 Thông Tin'!$D$10="Nâng cao (🟢+🟡+⚪)"))),"✓ Có","✗ Không")</f>
        <v>✗ Không</v>
      </c>
      <c r="E21" s="18">
        <f>IF(D21="✓ Có",VLOOKUP(B21,'Hệ Số'!B:C,2,FALSE),0)</f>
        <v>0</v>
      </c>
      <c r="F21" s="12" t="s">
        <v>123</v>
      </c>
    </row>
    <row r="22" spans="1:6" ht="26.1" customHeight="1" x14ac:dyDescent="0.25">
      <c r="A22" s="39" t="s">
        <v>137</v>
      </c>
      <c r="B22" s="39"/>
      <c r="C22" s="39"/>
      <c r="D22" s="39"/>
      <c r="E22" s="39"/>
      <c r="F22" s="39"/>
    </row>
    <row r="23" spans="1:6" ht="24" customHeight="1" x14ac:dyDescent="0.25">
      <c r="A23" s="5">
        <v>17</v>
      </c>
      <c r="B23" s="6" t="s">
        <v>138</v>
      </c>
      <c r="C23" s="20" t="s">
        <v>206</v>
      </c>
      <c r="D23" s="7" t="str">
        <f>IF(AND('📋 Thông Tin'!$B$10="Blog - Tạp Chí",OR(C23="🟢 Bắt buộc",AND(C23="🟡 Nên có",OR('📋 Thông Tin'!$D$10="Phổ thông (🟢+🟡)",'📋 Thông Tin'!$D$10="Nâng cao (🟢+🟡+⚪)")),AND(C23="⚪ Tùy chọn",'📋 Thông Tin'!$D$10="Nâng cao (🟢+🟡+⚪)"))),"✓ Có","✗ Không")</f>
        <v>✗ Không</v>
      </c>
      <c r="E23" s="16">
        <f>IF(D23="✓ Có",VLOOKUP(B23,'Hệ Số'!B:C,2,FALSE),0)</f>
        <v>0</v>
      </c>
      <c r="F23" s="8" t="s">
        <v>139</v>
      </c>
    </row>
    <row r="24" spans="1:6" ht="24" customHeight="1" x14ac:dyDescent="0.25">
      <c r="A24" s="9">
        <v>18</v>
      </c>
      <c r="B24" s="10" t="s">
        <v>142</v>
      </c>
      <c r="C24" s="17" t="s">
        <v>206</v>
      </c>
      <c r="D24" s="11" t="str">
        <f>IF(AND('📋 Thông Tin'!$B$10="Blog - Tạp Chí",OR(C24="🟢 Bắt buộc",AND(C24="🟡 Nên có",OR('📋 Thông Tin'!$D$10="Phổ thông (🟢+🟡)",'📋 Thông Tin'!$D$10="Nâng cao (🟢+🟡+⚪)")),AND(C24="⚪ Tùy chọn",'📋 Thông Tin'!$D$10="Nâng cao (🟢+🟡+⚪)"))),"✓ Có","✗ Không")</f>
        <v>✗ Không</v>
      </c>
      <c r="E24" s="18">
        <f>IF(D24="✓ Có",VLOOKUP(B24,'Hệ Số'!B:C,2,FALSE),0)</f>
        <v>0</v>
      </c>
      <c r="F24" s="12" t="s">
        <v>143</v>
      </c>
    </row>
    <row r="25" spans="1:6" ht="24" customHeight="1" x14ac:dyDescent="0.25">
      <c r="A25" s="5">
        <v>19</v>
      </c>
      <c r="B25" s="6" t="s">
        <v>144</v>
      </c>
      <c r="C25" s="20" t="s">
        <v>206</v>
      </c>
      <c r="D25" s="7" t="str">
        <f>IF(AND('📋 Thông Tin'!$B$10="Blog - Tạp Chí",OR(C25="🟢 Bắt buộc",AND(C25="🟡 Nên có",OR('📋 Thông Tin'!$D$10="Phổ thông (🟢+🟡)",'📋 Thông Tin'!$D$10="Nâng cao (🟢+🟡+⚪)")),AND(C25="⚪ Tùy chọn",'📋 Thông Tin'!$D$10="Nâng cao (🟢+🟡+⚪)"))),"✓ Có","✗ Không")</f>
        <v>✗ Không</v>
      </c>
      <c r="E25" s="16">
        <f>IF(D25="✓ Có",VLOOKUP(B25,'Hệ Số'!B:C,2,FALSE),0)</f>
        <v>0</v>
      </c>
      <c r="F25" s="8" t="s">
        <v>145</v>
      </c>
    </row>
    <row r="26" spans="1:6" ht="26.1" customHeight="1" x14ac:dyDescent="0.25">
      <c r="A26" s="39" t="s">
        <v>148</v>
      </c>
      <c r="B26" s="39"/>
      <c r="C26" s="39"/>
      <c r="D26" s="39"/>
      <c r="E26" s="39"/>
      <c r="F26" s="39"/>
    </row>
    <row r="27" spans="1:6" ht="24" customHeight="1" x14ac:dyDescent="0.25">
      <c r="A27" s="9">
        <v>20</v>
      </c>
      <c r="B27" s="10" t="s">
        <v>149</v>
      </c>
      <c r="C27" s="17" t="s">
        <v>206</v>
      </c>
      <c r="D27" s="11" t="str">
        <f>IF(AND('📋 Thông Tin'!$B$10="Blog - Tạp Chí",OR(C27="🟢 Bắt buộc",AND(C27="🟡 Nên có",OR('📋 Thông Tin'!$D$10="Phổ thông (🟢+🟡)",'📋 Thông Tin'!$D$10="Nâng cao (🟢+🟡+⚪)")),AND(C27="⚪ Tùy chọn",'📋 Thông Tin'!$D$10="Nâng cao (🟢+🟡+⚪)"))),"✓ Có","✗ Không")</f>
        <v>✗ Không</v>
      </c>
      <c r="E27" s="18">
        <f>IF(D27="✓ Có",VLOOKUP(B27,'Hệ Số'!B:C,2,FALSE),0)</f>
        <v>0</v>
      </c>
      <c r="F27" s="12" t="s">
        <v>3</v>
      </c>
    </row>
    <row r="28" spans="1:6" ht="24" customHeight="1" x14ac:dyDescent="0.25">
      <c r="A28" s="5">
        <v>21</v>
      </c>
      <c r="B28" s="6" t="s">
        <v>150</v>
      </c>
      <c r="C28" s="20" t="s">
        <v>206</v>
      </c>
      <c r="D28" s="7" t="str">
        <f>IF(AND('📋 Thông Tin'!$B$10="Blog - Tạp Chí",OR(C28="🟢 Bắt buộc",AND(C28="🟡 Nên có",OR('📋 Thông Tin'!$D$10="Phổ thông (🟢+🟡)",'📋 Thông Tin'!$D$10="Nâng cao (🟢+🟡+⚪)")),AND(C28="⚪ Tùy chọn",'📋 Thông Tin'!$D$10="Nâng cao (🟢+🟡+⚪)"))),"✓ Có","✗ Không")</f>
        <v>✗ Không</v>
      </c>
      <c r="E28" s="16">
        <f>IF(D28="✓ Có",VLOOKUP(B28,'Hệ Số'!B:C,2,FALSE),0)</f>
        <v>0</v>
      </c>
      <c r="F28" s="8" t="s">
        <v>151</v>
      </c>
    </row>
    <row r="29" spans="1:6" ht="24" customHeight="1" x14ac:dyDescent="0.25">
      <c r="A29" s="9">
        <v>22</v>
      </c>
      <c r="B29" s="10" t="s">
        <v>152</v>
      </c>
      <c r="C29" s="17" t="s">
        <v>206</v>
      </c>
      <c r="D29" s="11" t="str">
        <f>IF(AND('📋 Thông Tin'!$B$10="Blog - Tạp Chí",OR(C29="🟢 Bắt buộc",AND(C29="🟡 Nên có",OR('📋 Thông Tin'!$D$10="Phổ thông (🟢+🟡)",'📋 Thông Tin'!$D$10="Nâng cao (🟢+🟡+⚪)")),AND(C29="⚪ Tùy chọn",'📋 Thông Tin'!$D$10="Nâng cao (🟢+🟡+⚪)"))),"✓ Có","✗ Không")</f>
        <v>✗ Không</v>
      </c>
      <c r="E29" s="18">
        <f>IF(D29="✓ Có",VLOOKUP(B29,'Hệ Số'!B:C,2,FALSE),0)</f>
        <v>0</v>
      </c>
      <c r="F29" s="12" t="s">
        <v>153</v>
      </c>
    </row>
    <row r="30" spans="1:6" ht="26.1" customHeight="1" x14ac:dyDescent="0.25">
      <c r="A30" s="39" t="s">
        <v>154</v>
      </c>
      <c r="B30" s="39"/>
      <c r="C30" s="39"/>
      <c r="D30" s="39"/>
      <c r="E30" s="39"/>
      <c r="F30" s="39"/>
    </row>
    <row r="31" spans="1:6" ht="24" customHeight="1" x14ac:dyDescent="0.25">
      <c r="A31" s="5">
        <v>23</v>
      </c>
      <c r="B31" s="6" t="s">
        <v>155</v>
      </c>
      <c r="C31" s="20" t="s">
        <v>206</v>
      </c>
      <c r="D31" s="7" t="str">
        <f>IF(AND('📋 Thông Tin'!$B$10="Blog - Tạp Chí",OR(C31="🟢 Bắt buộc",AND(C31="🟡 Nên có",OR('📋 Thông Tin'!$D$10="Phổ thông (🟢+🟡)",'📋 Thông Tin'!$D$10="Nâng cao (🟢+🟡+⚪)")),AND(C31="⚪ Tùy chọn",'📋 Thông Tin'!$D$10="Nâng cao (🟢+🟡+⚪)"))),"✓ Có","✗ Không")</f>
        <v>✗ Không</v>
      </c>
      <c r="E31" s="16">
        <f>IF(D31="✓ Có",VLOOKUP(B31,'Hệ Số'!B:C,2,FALSE),0)</f>
        <v>0</v>
      </c>
      <c r="F31" s="8" t="s">
        <v>156</v>
      </c>
    </row>
    <row r="32" spans="1:6" ht="24" customHeight="1" x14ac:dyDescent="0.25">
      <c r="A32" s="9">
        <v>24</v>
      </c>
      <c r="B32" s="10" t="s">
        <v>157</v>
      </c>
      <c r="C32" s="17" t="s">
        <v>206</v>
      </c>
      <c r="D32" s="11" t="str">
        <f>IF(AND('📋 Thông Tin'!$B$10="Blog - Tạp Chí",OR(C32="🟢 Bắt buộc",AND(C32="🟡 Nên có",OR('📋 Thông Tin'!$D$10="Phổ thông (🟢+🟡)",'📋 Thông Tin'!$D$10="Nâng cao (🟢+🟡+⚪)")),AND(C32="⚪ Tùy chọn",'📋 Thông Tin'!$D$10="Nâng cao (🟢+🟡+⚪)"))),"✓ Có","✗ Không")</f>
        <v>✗ Không</v>
      </c>
      <c r="E32" s="18">
        <f>IF(D32="✓ Có",VLOOKUP(B32,'Hệ Số'!B:C,2,FALSE),0)</f>
        <v>0</v>
      </c>
      <c r="F32" s="12" t="s">
        <v>158</v>
      </c>
    </row>
    <row r="33" spans="1:6" ht="24" customHeight="1" x14ac:dyDescent="0.25">
      <c r="A33" s="5">
        <v>25</v>
      </c>
      <c r="B33" s="6" t="s">
        <v>159</v>
      </c>
      <c r="C33" s="20" t="s">
        <v>206</v>
      </c>
      <c r="D33" s="7" t="str">
        <f>IF(AND('📋 Thông Tin'!$B$10="Blog - Tạp Chí",OR(C33="🟢 Bắt buộc",AND(C33="🟡 Nên có",OR('📋 Thông Tin'!$D$10="Phổ thông (🟢+🟡)",'📋 Thông Tin'!$D$10="Nâng cao (🟢+🟡+⚪)")),AND(C33="⚪ Tùy chọn",'📋 Thông Tin'!$D$10="Nâng cao (🟢+🟡+⚪)"))),"✓ Có","✗ Không")</f>
        <v>✗ Không</v>
      </c>
      <c r="E33" s="16">
        <f>IF(D33="✓ Có",VLOOKUP(B33,'Hệ Số'!B:C,2,FALSE),0)</f>
        <v>0</v>
      </c>
      <c r="F33" s="8" t="s">
        <v>160</v>
      </c>
    </row>
    <row r="34" spans="1:6" ht="26.1" customHeight="1" x14ac:dyDescent="0.25">
      <c r="A34" s="39" t="s">
        <v>164</v>
      </c>
      <c r="B34" s="39"/>
      <c r="C34" s="39"/>
      <c r="D34" s="39"/>
      <c r="E34" s="39"/>
      <c r="F34" s="39"/>
    </row>
    <row r="35" spans="1:6" ht="24" customHeight="1" x14ac:dyDescent="0.25">
      <c r="A35" s="9">
        <v>26</v>
      </c>
      <c r="B35" s="10" t="s">
        <v>165</v>
      </c>
      <c r="C35" s="15" t="s">
        <v>205</v>
      </c>
      <c r="D35" s="11" t="str">
        <f>IF(AND('📋 Thông Tin'!$B$10="Blog - Tạp Chí",OR(C35="🟢 Bắt buộc",AND(C35="🟡 Nên có",OR('📋 Thông Tin'!$D$10="Phổ thông (🟢+🟡)",'📋 Thông Tin'!$D$10="Nâng cao (🟢+🟡+⚪)")),AND(C35="⚪ Tùy chọn",'📋 Thông Tin'!$D$10="Nâng cao (🟢+🟡+⚪)"))),"✓ Có","✗ Không")</f>
        <v>✗ Không</v>
      </c>
      <c r="E35" s="18">
        <f>IF(D35="✓ Có",VLOOKUP(B35,'Hệ Số'!B:C,2,FALSE),0)</f>
        <v>0</v>
      </c>
      <c r="F35" s="12" t="s">
        <v>3</v>
      </c>
    </row>
    <row r="36" spans="1:6" ht="24" customHeight="1" x14ac:dyDescent="0.25">
      <c r="A36" s="5">
        <v>27</v>
      </c>
      <c r="B36" s="6" t="s">
        <v>166</v>
      </c>
      <c r="C36" s="15" t="s">
        <v>205</v>
      </c>
      <c r="D36" s="7" t="str">
        <f>IF(AND('📋 Thông Tin'!$B$10="Blog - Tạp Chí",OR(C36="🟢 Bắt buộc",AND(C36="🟡 Nên có",OR('📋 Thông Tin'!$D$10="Phổ thông (🟢+🟡)",'📋 Thông Tin'!$D$10="Nâng cao (🟢+🟡+⚪)")),AND(C36="⚪ Tùy chọn",'📋 Thông Tin'!$D$10="Nâng cao (🟢+🟡+⚪)"))),"✓ Có","✗ Không")</f>
        <v>✗ Không</v>
      </c>
      <c r="E36" s="16">
        <f>IF(D36="✓ Có",VLOOKUP(B36,'Hệ Số'!B:C,2,FALSE),0)</f>
        <v>0</v>
      </c>
      <c r="F36" s="8" t="s">
        <v>3</v>
      </c>
    </row>
    <row r="37" spans="1:6" ht="24" customHeight="1" x14ac:dyDescent="0.25">
      <c r="A37" s="9">
        <v>28</v>
      </c>
      <c r="B37" s="10" t="s">
        <v>167</v>
      </c>
      <c r="C37" s="19" t="s">
        <v>207</v>
      </c>
      <c r="D37" s="11" t="str">
        <f>IF(AND('📋 Thông Tin'!$B$10="Blog - Tạp Chí",OR(C37="🟢 Bắt buộc",AND(C37="🟡 Nên có",OR('📋 Thông Tin'!$D$10="Phổ thông (🟢+🟡)",'📋 Thông Tin'!$D$10="Nâng cao (🟢+🟡+⚪)")),AND(C37="⚪ Tùy chọn",'📋 Thông Tin'!$D$10="Nâng cao (🟢+🟡+⚪)"))),"✓ Có","✗ Không")</f>
        <v>✗ Không</v>
      </c>
      <c r="E37" s="18">
        <f>IF(D37="✓ Có",VLOOKUP(B37,'Hệ Số'!B:C,2,FALSE),0)</f>
        <v>0</v>
      </c>
      <c r="F37" s="12" t="s">
        <v>168</v>
      </c>
    </row>
    <row r="38" spans="1:6" ht="24" customHeight="1" x14ac:dyDescent="0.25">
      <c r="A38" s="5">
        <v>29</v>
      </c>
      <c r="B38" s="6" t="s">
        <v>169</v>
      </c>
      <c r="C38" s="19" t="s">
        <v>207</v>
      </c>
      <c r="D38" s="7" t="str">
        <f>IF(AND('📋 Thông Tin'!$B$10="Blog - Tạp Chí",OR(C38="🟢 Bắt buộc",AND(C38="🟡 Nên có",OR('📋 Thông Tin'!$D$10="Phổ thông (🟢+🟡)",'📋 Thông Tin'!$D$10="Nâng cao (🟢+🟡+⚪)")),AND(C38="⚪ Tùy chọn",'📋 Thông Tin'!$D$10="Nâng cao (🟢+🟡+⚪)"))),"✓ Có","✗ Không")</f>
        <v>✗ Không</v>
      </c>
      <c r="E38" s="16">
        <f>IF(D38="✓ Có",VLOOKUP(B38,'Hệ Số'!B:C,2,FALSE),0)</f>
        <v>0</v>
      </c>
      <c r="F38" s="8" t="s">
        <v>3</v>
      </c>
    </row>
    <row r="39" spans="1:6" ht="24" customHeight="1" x14ac:dyDescent="0.25">
      <c r="A39" s="9">
        <v>30</v>
      </c>
      <c r="B39" s="10" t="s">
        <v>170</v>
      </c>
      <c r="C39" s="19" t="s">
        <v>207</v>
      </c>
      <c r="D39" s="11" t="str">
        <f>IF(AND('📋 Thông Tin'!$B$10="Blog - Tạp Chí",OR(C39="🟢 Bắt buộc",AND(C39="🟡 Nên có",OR('📋 Thông Tin'!$D$10="Phổ thông (🟢+🟡)",'📋 Thông Tin'!$D$10="Nâng cao (🟢+🟡+⚪)")),AND(C39="⚪ Tùy chọn",'📋 Thông Tin'!$D$10="Nâng cao (🟢+🟡+⚪)"))),"✓ Có","✗ Không")</f>
        <v>✗ Không</v>
      </c>
      <c r="E39" s="18">
        <f>IF(D39="✓ Có",VLOOKUP(B39,'Hệ Số'!B:C,2,FALSE),0)</f>
        <v>0</v>
      </c>
      <c r="F39" s="12" t="s">
        <v>3</v>
      </c>
    </row>
    <row r="40" spans="1:6" ht="24" customHeight="1" x14ac:dyDescent="0.25">
      <c r="A40" s="5">
        <v>31</v>
      </c>
      <c r="B40" s="6" t="s">
        <v>171</v>
      </c>
      <c r="C40" s="20" t="s">
        <v>206</v>
      </c>
      <c r="D40" s="7" t="str">
        <f>IF(AND('📋 Thông Tin'!$B$10="Blog - Tạp Chí",OR(C40="🟢 Bắt buộc",AND(C40="🟡 Nên có",OR('📋 Thông Tin'!$D$10="Phổ thông (🟢+🟡)",'📋 Thông Tin'!$D$10="Nâng cao (🟢+🟡+⚪)")),AND(C40="⚪ Tùy chọn",'📋 Thông Tin'!$D$10="Nâng cao (🟢+🟡+⚪)"))),"✓ Có","✗ Không")</f>
        <v>✗ Không</v>
      </c>
      <c r="E40" s="16">
        <f>IF(D40="✓ Có",VLOOKUP(B40,'Hệ Số'!B:C,2,FALSE),0)</f>
        <v>0</v>
      </c>
      <c r="F40" s="8" t="s">
        <v>3</v>
      </c>
    </row>
    <row r="41" spans="1:6" ht="24" customHeight="1" x14ac:dyDescent="0.25">
      <c r="A41" s="9">
        <v>32</v>
      </c>
      <c r="B41" s="10" t="s">
        <v>172</v>
      </c>
      <c r="C41" s="15" t="s">
        <v>205</v>
      </c>
      <c r="D41" s="11" t="str">
        <f>IF(AND('📋 Thông Tin'!$B$10="Blog - Tạp Chí",OR(C41="🟢 Bắt buộc",AND(C41="🟡 Nên có",OR('📋 Thông Tin'!$D$10="Phổ thông (🟢+🟡)",'📋 Thông Tin'!$D$10="Nâng cao (🟢+🟡+⚪)")),AND(C41="⚪ Tùy chọn",'📋 Thông Tin'!$D$10="Nâng cao (🟢+🟡+⚪)"))),"✓ Có","✗ Không")</f>
        <v>✗ Không</v>
      </c>
      <c r="E41" s="18">
        <f>IF(D41="✓ Có",VLOOKUP(B41,'Hệ Số'!B:C,2,FALSE),0)</f>
        <v>0</v>
      </c>
      <c r="F41" s="12" t="s">
        <v>173</v>
      </c>
    </row>
    <row r="42" spans="1:6" ht="24" customHeight="1" x14ac:dyDescent="0.25">
      <c r="A42" s="5">
        <v>33</v>
      </c>
      <c r="B42" s="6" t="s">
        <v>174</v>
      </c>
      <c r="C42" s="20" t="s">
        <v>206</v>
      </c>
      <c r="D42" s="7" t="str">
        <f>IF(AND('📋 Thông Tin'!$B$10="Blog - Tạp Chí",OR(C42="🟢 Bắt buộc",AND(C42="🟡 Nên có",OR('📋 Thông Tin'!$D$10="Phổ thông (🟢+🟡)",'📋 Thông Tin'!$D$10="Nâng cao (🟢+🟡+⚪)")),AND(C42="⚪ Tùy chọn",'📋 Thông Tin'!$D$10="Nâng cao (🟢+🟡+⚪)"))),"✓ Có","✗ Không")</f>
        <v>✗ Không</v>
      </c>
      <c r="E42" s="16">
        <f>IF(D42="✓ Có",VLOOKUP(B42,'Hệ Số'!B:C,2,FALSE),0)</f>
        <v>0</v>
      </c>
      <c r="F42" s="8" t="s">
        <v>3</v>
      </c>
    </row>
    <row r="43" spans="1:6" ht="24" customHeight="1" x14ac:dyDescent="0.25">
      <c r="A43" s="9">
        <v>34</v>
      </c>
      <c r="B43" s="10" t="s">
        <v>175</v>
      </c>
      <c r="C43" s="17" t="s">
        <v>206</v>
      </c>
      <c r="D43" s="11" t="str">
        <f>IF(AND('📋 Thông Tin'!$B$10="Blog - Tạp Chí",OR(C43="🟢 Bắt buộc",AND(C43="🟡 Nên có",OR('📋 Thông Tin'!$D$10="Phổ thông (🟢+🟡)",'📋 Thông Tin'!$D$10="Nâng cao (🟢+🟡+⚪)")),AND(C43="⚪ Tùy chọn",'📋 Thông Tin'!$D$10="Nâng cao (🟢+🟡+⚪)"))),"✓ Có","✗ Không")</f>
        <v>✗ Không</v>
      </c>
      <c r="E43" s="18">
        <f>IF(D43="✓ Có",VLOOKUP(B43,'Hệ Số'!B:C,2,FALSE),0)</f>
        <v>0</v>
      </c>
      <c r="F43" s="12" t="s">
        <v>176</v>
      </c>
    </row>
    <row r="44" spans="1:6" ht="24" customHeight="1" x14ac:dyDescent="0.25">
      <c r="A44" s="5">
        <v>35</v>
      </c>
      <c r="B44" s="6" t="s">
        <v>177</v>
      </c>
      <c r="C44" s="19" t="s">
        <v>207</v>
      </c>
      <c r="D44" s="7" t="str">
        <f>IF(AND('📋 Thông Tin'!$B$10="Blog - Tạp Chí",OR(C44="🟢 Bắt buộc",AND(C44="🟡 Nên có",OR('📋 Thông Tin'!$D$10="Phổ thông (🟢+🟡)",'📋 Thông Tin'!$D$10="Nâng cao (🟢+🟡+⚪)")),AND(C44="⚪ Tùy chọn",'📋 Thông Tin'!$D$10="Nâng cao (🟢+🟡+⚪)"))),"✓ Có","✗ Không")</f>
        <v>✗ Không</v>
      </c>
      <c r="E44" s="16">
        <f>IF(D44="✓ Có",VLOOKUP(B44,'Hệ Số'!B:C,2,FALSE),0)</f>
        <v>0</v>
      </c>
      <c r="F44" s="8" t="s">
        <v>178</v>
      </c>
    </row>
    <row r="45" spans="1:6" ht="24" customHeight="1" x14ac:dyDescent="0.25">
      <c r="A45" s="9">
        <v>36</v>
      </c>
      <c r="B45" s="10" t="s">
        <v>179</v>
      </c>
      <c r="C45" s="19" t="s">
        <v>207</v>
      </c>
      <c r="D45" s="11" t="str">
        <f>IF(AND('📋 Thông Tin'!$B$10="Blog - Tạp Chí",OR(C45="🟢 Bắt buộc",AND(C45="🟡 Nên có",OR('📋 Thông Tin'!$D$10="Phổ thông (🟢+🟡)",'📋 Thông Tin'!$D$10="Nâng cao (🟢+🟡+⚪)")),AND(C45="⚪ Tùy chọn",'📋 Thông Tin'!$D$10="Nâng cao (🟢+🟡+⚪)"))),"✓ Có","✗ Không")</f>
        <v>✗ Không</v>
      </c>
      <c r="E45" s="18">
        <f>IF(D45="✓ Có",VLOOKUP(B45,'Hệ Số'!B:C,2,FALSE),0)</f>
        <v>0</v>
      </c>
      <c r="F45" s="12" t="s">
        <v>3</v>
      </c>
    </row>
    <row r="46" spans="1:6" ht="26.1" customHeight="1" x14ac:dyDescent="0.25">
      <c r="A46" s="39" t="s">
        <v>180</v>
      </c>
      <c r="B46" s="39"/>
      <c r="C46" s="39"/>
      <c r="D46" s="39"/>
      <c r="E46" s="39"/>
      <c r="F46" s="39"/>
    </row>
    <row r="47" spans="1:6" ht="24" customHeight="1" x14ac:dyDescent="0.25">
      <c r="A47" s="5">
        <v>37</v>
      </c>
      <c r="B47" s="6" t="s">
        <v>181</v>
      </c>
      <c r="C47" s="20" t="s">
        <v>206</v>
      </c>
      <c r="D47" s="7" t="str">
        <f>IF(AND('📋 Thông Tin'!$B$10="Blog - Tạp Chí",OR(C47="🟢 Bắt buộc",AND(C47="🟡 Nên có",OR('📋 Thông Tin'!$D$10="Phổ thông (🟢+🟡)",'📋 Thông Tin'!$D$10="Nâng cao (🟢+🟡+⚪)")),AND(C47="⚪ Tùy chọn",'📋 Thông Tin'!$D$10="Nâng cao (🟢+🟡+⚪)"))),"✓ Có","✗ Không")</f>
        <v>✗ Không</v>
      </c>
      <c r="E47" s="16">
        <f>IF(D47="✓ Có",VLOOKUP(B47,'Hệ Số'!B:C,2,FALSE),0)</f>
        <v>0</v>
      </c>
      <c r="F47" s="8" t="s">
        <v>182</v>
      </c>
    </row>
    <row r="48" spans="1:6" ht="24" customHeight="1" x14ac:dyDescent="0.25">
      <c r="A48" s="9">
        <v>38</v>
      </c>
      <c r="B48" s="10" t="s">
        <v>183</v>
      </c>
      <c r="C48" s="17" t="s">
        <v>206</v>
      </c>
      <c r="D48" s="11" t="str">
        <f>IF(AND('📋 Thông Tin'!$B$10="Blog - Tạp Chí",OR(C48="🟢 Bắt buộc",AND(C48="🟡 Nên có",OR('📋 Thông Tin'!$D$10="Phổ thông (🟢+🟡)",'📋 Thông Tin'!$D$10="Nâng cao (🟢+🟡+⚪)")),AND(C48="⚪ Tùy chọn",'📋 Thông Tin'!$D$10="Nâng cao (🟢+🟡+⚪)"))),"✓ Có","✗ Không")</f>
        <v>✗ Không</v>
      </c>
      <c r="E48" s="18">
        <f>IF(D48="✓ Có",VLOOKUP(B48,'Hệ Số'!B:C,2,FALSE),0)</f>
        <v>0</v>
      </c>
      <c r="F48" s="12" t="s">
        <v>3</v>
      </c>
    </row>
    <row r="49" spans="1:6" ht="24" customHeight="1" x14ac:dyDescent="0.25">
      <c r="A49" s="5">
        <v>39</v>
      </c>
      <c r="B49" s="6" t="s">
        <v>184</v>
      </c>
      <c r="C49" s="20" t="s">
        <v>206</v>
      </c>
      <c r="D49" s="7" t="str">
        <f>IF(AND('📋 Thông Tin'!$B$10="Blog - Tạp Chí",OR(C49="🟢 Bắt buộc",AND(C49="🟡 Nên có",OR('📋 Thông Tin'!$D$10="Phổ thông (🟢+🟡)",'📋 Thông Tin'!$D$10="Nâng cao (🟢+🟡+⚪)")),AND(C49="⚪ Tùy chọn",'📋 Thông Tin'!$D$10="Nâng cao (🟢+🟡+⚪)"))),"✓ Có","✗ Không")</f>
        <v>✗ Không</v>
      </c>
      <c r="E49" s="16">
        <f>IF(D49="✓ Có",VLOOKUP(B49,'Hệ Số'!B:C,2,FALSE),0)</f>
        <v>0</v>
      </c>
      <c r="F49" s="8" t="s">
        <v>185</v>
      </c>
    </row>
    <row r="50" spans="1:6" ht="24" customHeight="1" x14ac:dyDescent="0.25">
      <c r="A50" s="9">
        <v>40</v>
      </c>
      <c r="B50" s="10" t="s">
        <v>186</v>
      </c>
      <c r="C50" s="17" t="s">
        <v>206</v>
      </c>
      <c r="D50" s="11" t="str">
        <f>IF(AND('📋 Thông Tin'!$B$10="Blog - Tạp Chí",OR(C50="🟢 Bắt buộc",AND(C50="🟡 Nên có",OR('📋 Thông Tin'!$D$10="Phổ thông (🟢+🟡)",'📋 Thông Tin'!$D$10="Nâng cao (🟢+🟡+⚪)")),AND(C50="⚪ Tùy chọn",'📋 Thông Tin'!$D$10="Nâng cao (🟢+🟡+⚪)"))),"✓ Có","✗ Không")</f>
        <v>✗ Không</v>
      </c>
      <c r="E50" s="18">
        <f>IF(D50="✓ Có",VLOOKUP(B50,'Hệ Số'!B:C,2,FALSE),0)</f>
        <v>0</v>
      </c>
      <c r="F50" s="12" t="s">
        <v>187</v>
      </c>
    </row>
    <row r="51" spans="1:6" ht="24" customHeight="1" x14ac:dyDescent="0.25">
      <c r="A51" s="5">
        <v>41</v>
      </c>
      <c r="B51" s="6" t="s">
        <v>188</v>
      </c>
      <c r="C51" s="20" t="s">
        <v>206</v>
      </c>
      <c r="D51" s="7" t="str">
        <f>IF(AND('📋 Thông Tin'!$B$10="Blog - Tạp Chí",OR(C51="🟢 Bắt buộc",AND(C51="🟡 Nên có",OR('📋 Thông Tin'!$D$10="Phổ thông (🟢+🟡)",'📋 Thông Tin'!$D$10="Nâng cao (🟢+🟡+⚪)")),AND(C51="⚪ Tùy chọn",'📋 Thông Tin'!$D$10="Nâng cao (🟢+🟡+⚪)"))),"✓ Có","✗ Không")</f>
        <v>✗ Không</v>
      </c>
      <c r="E51" s="16">
        <f>IF(D51="✓ Có",VLOOKUP(B51,'Hệ Số'!B:C,2,FALSE),0)</f>
        <v>0</v>
      </c>
      <c r="F51" s="8" t="s">
        <v>189</v>
      </c>
    </row>
    <row r="52" spans="1:6" ht="24" customHeight="1" x14ac:dyDescent="0.25">
      <c r="A52" s="9">
        <v>42</v>
      </c>
      <c r="B52" s="10" t="s">
        <v>190</v>
      </c>
      <c r="C52" s="17" t="s">
        <v>206</v>
      </c>
      <c r="D52" s="11" t="str">
        <f>IF(AND('📋 Thông Tin'!$B$10="Blog - Tạp Chí",OR(C52="🟢 Bắt buộc",AND(C52="🟡 Nên có",OR('📋 Thông Tin'!$D$10="Phổ thông (🟢+🟡)",'📋 Thông Tin'!$D$10="Nâng cao (🟢+🟡+⚪)")),AND(C52="⚪ Tùy chọn",'📋 Thông Tin'!$D$10="Nâng cao (🟢+🟡+⚪)"))),"✓ Có","✗ Không")</f>
        <v>✗ Không</v>
      </c>
      <c r="E52" s="18">
        <f>IF(D52="✓ Có",VLOOKUP(B52,'Hệ Số'!B:C,2,FALSE),0)</f>
        <v>0</v>
      </c>
      <c r="F52" s="12" t="s">
        <v>3</v>
      </c>
    </row>
    <row r="53" spans="1:6" ht="24" customHeight="1" x14ac:dyDescent="0.25">
      <c r="A53" s="5">
        <v>43</v>
      </c>
      <c r="B53" s="6" t="s">
        <v>191</v>
      </c>
      <c r="C53" s="20" t="s">
        <v>206</v>
      </c>
      <c r="D53" s="7" t="str">
        <f>IF(AND('📋 Thông Tin'!$B$10="Blog - Tạp Chí",OR(C53="🟢 Bắt buộc",AND(C53="🟡 Nên có",OR('📋 Thông Tin'!$D$10="Phổ thông (🟢+🟡)",'📋 Thông Tin'!$D$10="Nâng cao (🟢+🟡+⚪)")),AND(C53="⚪ Tùy chọn",'📋 Thông Tin'!$D$10="Nâng cao (🟢+🟡+⚪)"))),"✓ Có","✗ Không")</f>
        <v>✗ Không</v>
      </c>
      <c r="E53" s="16">
        <f>IF(D53="✓ Có",VLOOKUP(B53,'Hệ Số'!B:C,2,FALSE),0)</f>
        <v>0</v>
      </c>
      <c r="F53" s="8" t="s">
        <v>192</v>
      </c>
    </row>
    <row r="54" spans="1:6" ht="24" customHeight="1" x14ac:dyDescent="0.25">
      <c r="A54" s="9">
        <v>44</v>
      </c>
      <c r="B54" s="10" t="s">
        <v>193</v>
      </c>
      <c r="C54" s="17" t="s">
        <v>206</v>
      </c>
      <c r="D54" s="11" t="str">
        <f>IF(AND('📋 Thông Tin'!$B$10="Blog - Tạp Chí",OR(C54="🟢 Bắt buộc",AND(C54="🟡 Nên có",OR('📋 Thông Tin'!$D$10="Phổ thông (🟢+🟡)",'📋 Thông Tin'!$D$10="Nâng cao (🟢+🟡+⚪)")),AND(C54="⚪ Tùy chọn",'📋 Thông Tin'!$D$10="Nâng cao (🟢+🟡+⚪)"))),"✓ Có","✗ Không")</f>
        <v>✗ Không</v>
      </c>
      <c r="E54" s="18">
        <f>IF(D54="✓ Có",VLOOKUP(B54,'Hệ Số'!B:C,2,FALSE),0)</f>
        <v>0</v>
      </c>
      <c r="F54" s="12" t="s">
        <v>3</v>
      </c>
    </row>
    <row r="55" spans="1:6" ht="24" customHeight="1" x14ac:dyDescent="0.25">
      <c r="A55" s="5">
        <v>45</v>
      </c>
      <c r="B55" s="6" t="s">
        <v>194</v>
      </c>
      <c r="C55" s="20" t="s">
        <v>206</v>
      </c>
      <c r="D55" s="7" t="str">
        <f>IF(AND('📋 Thông Tin'!$B$10="Blog - Tạp Chí",OR(C55="🟢 Bắt buộc",AND(C55="🟡 Nên có",OR('📋 Thông Tin'!$D$10="Phổ thông (🟢+🟡)",'📋 Thông Tin'!$D$10="Nâng cao (🟢+🟡+⚪)")),AND(C55="⚪ Tùy chọn",'📋 Thông Tin'!$D$10="Nâng cao (🟢+🟡+⚪)"))),"✓ Có","✗ Không")</f>
        <v>✗ Không</v>
      </c>
      <c r="E55" s="16">
        <f>IF(D55="✓ Có",VLOOKUP(B55,'Hệ Số'!B:C,2,FALSE),0)</f>
        <v>0</v>
      </c>
      <c r="F55" s="8" t="s">
        <v>3</v>
      </c>
    </row>
    <row r="56" spans="1:6" ht="24" customHeight="1" x14ac:dyDescent="0.25">
      <c r="A56" s="9">
        <v>46</v>
      </c>
      <c r="B56" s="10" t="s">
        <v>195</v>
      </c>
      <c r="C56" s="17" t="s">
        <v>206</v>
      </c>
      <c r="D56" s="11" t="str">
        <f>IF(AND('📋 Thông Tin'!$B$10="Blog - Tạp Chí",OR(C56="🟢 Bắt buộc",AND(C56="🟡 Nên có",OR('📋 Thông Tin'!$D$10="Phổ thông (🟢+🟡)",'📋 Thông Tin'!$D$10="Nâng cao (🟢+🟡+⚪)")),AND(C56="⚪ Tùy chọn",'📋 Thông Tin'!$D$10="Nâng cao (🟢+🟡+⚪)"))),"✓ Có","✗ Không")</f>
        <v>✗ Không</v>
      </c>
      <c r="E56" s="18">
        <f>IF(D56="✓ Có",VLOOKUP(B56,'Hệ Số'!B:C,2,FALSE),0)</f>
        <v>0</v>
      </c>
      <c r="F56" s="12" t="s">
        <v>3</v>
      </c>
    </row>
    <row r="57" spans="1:6" ht="26.1" customHeight="1" x14ac:dyDescent="0.25">
      <c r="A57" s="39" t="s">
        <v>196</v>
      </c>
      <c r="B57" s="39"/>
      <c r="C57" s="39"/>
      <c r="D57" s="39"/>
      <c r="E57" s="39"/>
      <c r="F57" s="39"/>
    </row>
    <row r="58" spans="1:6" ht="24" customHeight="1" x14ac:dyDescent="0.25">
      <c r="A58" s="5">
        <v>47</v>
      </c>
      <c r="B58" s="6" t="s">
        <v>197</v>
      </c>
      <c r="C58" s="20" t="s">
        <v>206</v>
      </c>
      <c r="D58" s="7" t="str">
        <f>IF(AND('📋 Thông Tin'!$B$10="Blog - Tạp Chí",OR(C58="🟢 Bắt buộc",AND(C58="🟡 Nên có",OR('📋 Thông Tin'!$D$10="Phổ thông (🟢+🟡)",'📋 Thông Tin'!$D$10="Nâng cao (🟢+🟡+⚪)")),AND(C58="⚪ Tùy chọn",'📋 Thông Tin'!$D$10="Nâng cao (🟢+🟡+⚪)"))),"✓ Có","✗ Không")</f>
        <v>✗ Không</v>
      </c>
      <c r="E58" s="16">
        <f>IF(D58="✓ Có",VLOOKUP(B58,'Hệ Số'!B:C,2,FALSE),0)</f>
        <v>0</v>
      </c>
      <c r="F58" s="8" t="s">
        <v>198</v>
      </c>
    </row>
    <row r="59" spans="1:6" ht="24" customHeight="1" x14ac:dyDescent="0.25">
      <c r="A59" s="9">
        <v>48</v>
      </c>
      <c r="B59" s="10" t="s">
        <v>199</v>
      </c>
      <c r="C59" s="17" t="s">
        <v>206</v>
      </c>
      <c r="D59" s="11" t="str">
        <f>IF(AND('📋 Thông Tin'!$B$10="Blog - Tạp Chí",OR(C59="🟢 Bắt buộc",AND(C59="🟡 Nên có",OR('📋 Thông Tin'!$D$10="Phổ thông (🟢+🟡)",'📋 Thông Tin'!$D$10="Nâng cao (🟢+🟡+⚪)")),AND(C59="⚪ Tùy chọn",'📋 Thông Tin'!$D$10="Nâng cao (🟢+🟡+⚪)"))),"✓ Có","✗ Không")</f>
        <v>✗ Không</v>
      </c>
      <c r="E59" s="18">
        <f>IF(D59="✓ Có",VLOOKUP(B59,'Hệ Số'!B:C,2,FALSE),0)</f>
        <v>0</v>
      </c>
      <c r="F59" s="12" t="s">
        <v>3</v>
      </c>
    </row>
    <row r="62" spans="1:6" ht="32.1" customHeight="1" x14ac:dyDescent="0.25">
      <c r="A62" s="35" t="s">
        <v>208</v>
      </c>
      <c r="B62" s="35"/>
      <c r="C62" s="35"/>
      <c r="D62" s="35"/>
      <c r="E62" s="35"/>
      <c r="F62" s="35"/>
    </row>
    <row r="63" spans="1:6" ht="30" customHeight="1" x14ac:dyDescent="0.25">
      <c r="A63" s="46" t="s">
        <v>209</v>
      </c>
      <c r="B63" s="46"/>
      <c r="C63" s="21"/>
      <c r="D63" s="21"/>
      <c r="E63" s="47">
        <f>SUM(E5:E59)</f>
        <v>0</v>
      </c>
      <c r="F63" s="47"/>
    </row>
    <row r="64" spans="1:6" ht="30" customHeight="1" x14ac:dyDescent="0.25">
      <c r="A64" s="46" t="s">
        <v>210</v>
      </c>
      <c r="B64" s="46"/>
      <c r="C64" s="21"/>
      <c r="D64" s="21"/>
      <c r="E64" s="47">
        <f>E63*1.5</f>
        <v>0</v>
      </c>
      <c r="F64" s="47"/>
    </row>
    <row r="65" spans="1:6" ht="30" customHeight="1" x14ac:dyDescent="0.25">
      <c r="A65" s="46" t="s">
        <v>211</v>
      </c>
      <c r="B65" s="46"/>
      <c r="C65" s="21"/>
      <c r="D65" s="21"/>
      <c r="E65" s="47">
        <f>CEILING(E64/8,1)</f>
        <v>0</v>
      </c>
      <c r="F65" s="47"/>
    </row>
    <row r="66" spans="1:6" ht="30" customHeight="1" x14ac:dyDescent="0.25">
      <c r="A66" s="42" t="s">
        <v>212</v>
      </c>
      <c r="B66" s="42"/>
      <c r="C66" s="22"/>
      <c r="D66" s="22"/>
      <c r="E66" s="43">
        <f>E65*1000000</f>
        <v>0</v>
      </c>
      <c r="F66" s="43"/>
    </row>
    <row r="68" spans="1:6" ht="26.1" customHeight="1" x14ac:dyDescent="0.25">
      <c r="A68" s="44" t="s">
        <v>213</v>
      </c>
      <c r="B68" s="44"/>
      <c r="C68" s="23"/>
      <c r="D68" s="23"/>
      <c r="E68" s="45">
        <f>E66*0.4</f>
        <v>0</v>
      </c>
      <c r="F68" s="45"/>
    </row>
    <row r="69" spans="1:6" ht="26.1" customHeight="1" x14ac:dyDescent="0.25">
      <c r="A69" s="44" t="s">
        <v>214</v>
      </c>
      <c r="B69" s="44"/>
      <c r="C69" s="23"/>
      <c r="D69" s="23"/>
      <c r="E69" s="45">
        <f>E66*0.6</f>
        <v>0</v>
      </c>
      <c r="F69" s="45"/>
    </row>
    <row r="71" spans="1:6" ht="24" customHeight="1" x14ac:dyDescent="0.25">
      <c r="A71" s="41" t="s">
        <v>215</v>
      </c>
      <c r="B71" s="41"/>
      <c r="C71" s="41"/>
      <c r="D71" s="41"/>
      <c r="E71" s="41"/>
      <c r="F71" s="41"/>
    </row>
  </sheetData>
  <mergeCells count="23">
    <mergeCell ref="A1:F1"/>
    <mergeCell ref="A4:F4"/>
    <mergeCell ref="A13:F13"/>
    <mergeCell ref="A22:F22"/>
    <mergeCell ref="A26:F26"/>
    <mergeCell ref="A30:F30"/>
    <mergeCell ref="A34:F34"/>
    <mergeCell ref="A46:F46"/>
    <mergeCell ref="A57:F57"/>
    <mergeCell ref="A62:F62"/>
    <mergeCell ref="A63:B63"/>
    <mergeCell ref="E63:F63"/>
    <mergeCell ref="A64:B64"/>
    <mergeCell ref="E64:F64"/>
    <mergeCell ref="A65:B65"/>
    <mergeCell ref="E65:F65"/>
    <mergeCell ref="A71:F71"/>
    <mergeCell ref="A66:B66"/>
    <mergeCell ref="E66:F66"/>
    <mergeCell ref="A68:B68"/>
    <mergeCell ref="E68:F68"/>
    <mergeCell ref="A69:B69"/>
    <mergeCell ref="E69:F69"/>
  </mergeCells>
  <pageMargins left="0.7" right="0.7" top="0.75" bottom="0.75" header="0.3" footer="0.3"/>
  <pageSetup paperSize="9" orientation="landscape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2410C"/>
  </sheetPr>
  <dimension ref="A1:F77"/>
  <sheetViews>
    <sheetView workbookViewId="0">
      <selection activeCell="B80" sqref="B80"/>
    </sheetView>
  </sheetViews>
  <sheetFormatPr defaultRowHeight="15" x14ac:dyDescent="0.25"/>
  <cols>
    <col min="1" max="1" width="5" customWidth="1"/>
    <col min="2" max="2" width="42" customWidth="1"/>
    <col min="3" max="3" width="10" customWidth="1"/>
    <col min="4" max="4" width="30" customWidth="1"/>
  </cols>
  <sheetData>
    <row r="1" spans="1:6" ht="36" customHeight="1" x14ac:dyDescent="0.25">
      <c r="A1" s="40" t="s">
        <v>87</v>
      </c>
      <c r="B1" s="40"/>
      <c r="C1" s="40"/>
      <c r="D1" s="40"/>
    </row>
    <row r="3" spans="1:6" ht="26.1" customHeight="1" x14ac:dyDescent="0.25">
      <c r="A3" s="4" t="s">
        <v>15</v>
      </c>
      <c r="B3" s="4" t="s">
        <v>88</v>
      </c>
      <c r="C3" s="4" t="s">
        <v>89</v>
      </c>
      <c r="D3" s="4" t="s">
        <v>90</v>
      </c>
    </row>
    <row r="4" spans="1:6" ht="26.1" customHeight="1" x14ac:dyDescent="0.25">
      <c r="A4" s="39" t="s">
        <v>91</v>
      </c>
      <c r="B4" s="39"/>
      <c r="C4" s="39"/>
      <c r="D4" s="39"/>
      <c r="E4" s="39"/>
      <c r="F4" s="39"/>
    </row>
    <row r="5" spans="1:6" ht="24" customHeight="1" x14ac:dyDescent="0.25">
      <c r="A5" s="5">
        <v>1</v>
      </c>
      <c r="B5" s="6" t="s">
        <v>92</v>
      </c>
      <c r="C5" s="13">
        <v>4</v>
      </c>
      <c r="D5" s="8" t="s">
        <v>3</v>
      </c>
    </row>
    <row r="6" spans="1:6" ht="24" customHeight="1" x14ac:dyDescent="0.25">
      <c r="A6" s="9">
        <v>2</v>
      </c>
      <c r="B6" s="10" t="s">
        <v>93</v>
      </c>
      <c r="C6" s="14">
        <v>2</v>
      </c>
      <c r="D6" s="12" t="s">
        <v>3</v>
      </c>
    </row>
    <row r="7" spans="1:6" ht="24" customHeight="1" x14ac:dyDescent="0.25">
      <c r="A7" s="5">
        <v>3</v>
      </c>
      <c r="B7" s="6" t="s">
        <v>94</v>
      </c>
      <c r="C7" s="13">
        <v>2.5</v>
      </c>
      <c r="D7" s="8" t="s">
        <v>3</v>
      </c>
    </row>
    <row r="8" spans="1:6" ht="24" customHeight="1" x14ac:dyDescent="0.25">
      <c r="A8" s="9">
        <v>4</v>
      </c>
      <c r="B8" s="10" t="s">
        <v>95</v>
      </c>
      <c r="C8" s="14">
        <v>0.5</v>
      </c>
      <c r="D8" s="12" t="s">
        <v>3</v>
      </c>
    </row>
    <row r="9" spans="1:6" ht="24" customHeight="1" x14ac:dyDescent="0.25">
      <c r="A9" s="5">
        <v>5</v>
      </c>
      <c r="B9" s="6" t="s">
        <v>96</v>
      </c>
      <c r="C9" s="13">
        <v>2</v>
      </c>
      <c r="D9" s="8" t="s">
        <v>97</v>
      </c>
    </row>
    <row r="10" spans="1:6" ht="24" customHeight="1" x14ac:dyDescent="0.25">
      <c r="A10" s="9">
        <v>6</v>
      </c>
      <c r="B10" s="10" t="s">
        <v>98</v>
      </c>
      <c r="C10" s="14">
        <v>1.5</v>
      </c>
      <c r="D10" s="12" t="s">
        <v>3</v>
      </c>
    </row>
    <row r="11" spans="1:6" ht="24" customHeight="1" x14ac:dyDescent="0.25">
      <c r="A11" s="5">
        <v>7</v>
      </c>
      <c r="B11" s="6" t="s">
        <v>99</v>
      </c>
      <c r="C11" s="13">
        <v>1</v>
      </c>
      <c r="D11" s="8" t="s">
        <v>100</v>
      </c>
    </row>
    <row r="12" spans="1:6" ht="24" customHeight="1" x14ac:dyDescent="0.25">
      <c r="A12" s="9">
        <v>8</v>
      </c>
      <c r="B12" s="10" t="s">
        <v>101</v>
      </c>
      <c r="C12" s="14">
        <v>0.5</v>
      </c>
      <c r="D12" s="12" t="s">
        <v>3</v>
      </c>
    </row>
    <row r="13" spans="1:6" ht="24" customHeight="1" x14ac:dyDescent="0.25">
      <c r="A13" s="5">
        <v>9</v>
      </c>
      <c r="B13" s="6" t="s">
        <v>102</v>
      </c>
      <c r="C13" s="13">
        <v>0.5</v>
      </c>
      <c r="D13" s="8" t="s">
        <v>103</v>
      </c>
    </row>
    <row r="14" spans="1:6" ht="26.1" customHeight="1" x14ac:dyDescent="0.25">
      <c r="A14" s="39" t="s">
        <v>104</v>
      </c>
      <c r="B14" s="39"/>
      <c r="C14" s="39"/>
      <c r="D14" s="39"/>
      <c r="E14" s="39"/>
      <c r="F14" s="39"/>
    </row>
    <row r="15" spans="1:6" ht="24" customHeight="1" x14ac:dyDescent="0.25">
      <c r="A15" s="9">
        <v>10</v>
      </c>
      <c r="B15" s="10" t="s">
        <v>105</v>
      </c>
      <c r="C15" s="14">
        <v>3</v>
      </c>
      <c r="D15" s="12" t="s">
        <v>106</v>
      </c>
    </row>
    <row r="16" spans="1:6" ht="24" customHeight="1" x14ac:dyDescent="0.25">
      <c r="A16" s="5">
        <v>11</v>
      </c>
      <c r="B16" s="6" t="s">
        <v>107</v>
      </c>
      <c r="C16" s="13">
        <v>3</v>
      </c>
      <c r="D16" s="8" t="s">
        <v>108</v>
      </c>
    </row>
    <row r="17" spans="1:6" ht="24" customHeight="1" x14ac:dyDescent="0.25">
      <c r="A17" s="9">
        <v>12</v>
      </c>
      <c r="B17" s="10" t="s">
        <v>109</v>
      </c>
      <c r="C17" s="14">
        <v>3</v>
      </c>
      <c r="D17" s="12" t="s">
        <v>110</v>
      </c>
    </row>
    <row r="18" spans="1:6" ht="24" customHeight="1" x14ac:dyDescent="0.25">
      <c r="A18" s="5">
        <v>13</v>
      </c>
      <c r="B18" s="6" t="s">
        <v>111</v>
      </c>
      <c r="C18" s="13">
        <v>2</v>
      </c>
      <c r="D18" s="8" t="s">
        <v>112</v>
      </c>
    </row>
    <row r="19" spans="1:6" ht="24" customHeight="1" x14ac:dyDescent="0.25">
      <c r="A19" s="9">
        <v>14</v>
      </c>
      <c r="B19" s="10" t="s">
        <v>113</v>
      </c>
      <c r="C19" s="14">
        <v>6</v>
      </c>
      <c r="D19" s="12" t="s">
        <v>114</v>
      </c>
    </row>
    <row r="20" spans="1:6" ht="24" customHeight="1" x14ac:dyDescent="0.25">
      <c r="A20" s="5">
        <v>15</v>
      </c>
      <c r="B20" s="6" t="s">
        <v>115</v>
      </c>
      <c r="C20" s="13">
        <v>1.5</v>
      </c>
      <c r="D20" s="8" t="s">
        <v>116</v>
      </c>
    </row>
    <row r="21" spans="1:6" ht="24" customHeight="1" x14ac:dyDescent="0.25">
      <c r="A21" s="9">
        <v>16</v>
      </c>
      <c r="B21" s="10" t="s">
        <v>117</v>
      </c>
      <c r="C21" s="14">
        <v>1.5</v>
      </c>
      <c r="D21" s="12" t="s">
        <v>118</v>
      </c>
    </row>
    <row r="22" spans="1:6" ht="24" customHeight="1" x14ac:dyDescent="0.25">
      <c r="A22" s="5">
        <v>17</v>
      </c>
      <c r="B22" s="6" t="s">
        <v>119</v>
      </c>
      <c r="C22" s="13">
        <v>0.5</v>
      </c>
      <c r="D22" s="8" t="s">
        <v>3</v>
      </c>
    </row>
    <row r="23" spans="1:6" ht="24" customHeight="1" x14ac:dyDescent="0.25">
      <c r="A23" s="9">
        <v>18</v>
      </c>
      <c r="B23" s="10" t="s">
        <v>120</v>
      </c>
      <c r="C23" s="14">
        <v>2</v>
      </c>
      <c r="D23" s="12" t="s">
        <v>121</v>
      </c>
    </row>
    <row r="24" spans="1:6" ht="24" customHeight="1" x14ac:dyDescent="0.25">
      <c r="A24" s="5">
        <v>19</v>
      </c>
      <c r="B24" s="6" t="s">
        <v>122</v>
      </c>
      <c r="C24" s="13">
        <v>2</v>
      </c>
      <c r="D24" s="8" t="s">
        <v>123</v>
      </c>
    </row>
    <row r="25" spans="1:6" ht="26.1" customHeight="1" x14ac:dyDescent="0.25">
      <c r="A25" s="39" t="s">
        <v>124</v>
      </c>
      <c r="B25" s="39"/>
      <c r="C25" s="39"/>
      <c r="D25" s="39"/>
      <c r="E25" s="39"/>
      <c r="F25" s="39"/>
    </row>
    <row r="26" spans="1:6" ht="24" customHeight="1" x14ac:dyDescent="0.25">
      <c r="A26" s="9">
        <v>20</v>
      </c>
      <c r="B26" s="10" t="s">
        <v>125</v>
      </c>
      <c r="C26" s="14">
        <v>2</v>
      </c>
      <c r="D26" s="12" t="s">
        <v>126</v>
      </c>
    </row>
    <row r="27" spans="1:6" ht="24" customHeight="1" x14ac:dyDescent="0.25">
      <c r="A27" s="5">
        <v>21</v>
      </c>
      <c r="B27" s="6" t="s">
        <v>127</v>
      </c>
      <c r="C27" s="13">
        <v>6</v>
      </c>
      <c r="D27" s="8" t="s">
        <v>128</v>
      </c>
    </row>
    <row r="28" spans="1:6" ht="24" customHeight="1" x14ac:dyDescent="0.25">
      <c r="A28" s="9">
        <v>22</v>
      </c>
      <c r="B28" s="10" t="s">
        <v>129</v>
      </c>
      <c r="C28" s="14">
        <v>5</v>
      </c>
      <c r="D28" s="12" t="s">
        <v>130</v>
      </c>
    </row>
    <row r="29" spans="1:6" ht="24" customHeight="1" x14ac:dyDescent="0.25">
      <c r="A29" s="5">
        <v>23</v>
      </c>
      <c r="B29" s="6" t="s">
        <v>131</v>
      </c>
      <c r="C29" s="13">
        <v>8</v>
      </c>
      <c r="D29" s="8" t="s">
        <v>132</v>
      </c>
    </row>
    <row r="30" spans="1:6" ht="24" customHeight="1" x14ac:dyDescent="0.25">
      <c r="A30" s="9">
        <v>24</v>
      </c>
      <c r="B30" s="10" t="s">
        <v>133</v>
      </c>
      <c r="C30" s="14">
        <v>4</v>
      </c>
      <c r="D30" s="12" t="s">
        <v>134</v>
      </c>
    </row>
    <row r="31" spans="1:6" ht="24" customHeight="1" x14ac:dyDescent="0.25">
      <c r="A31" s="5">
        <v>25</v>
      </c>
      <c r="B31" s="6" t="s">
        <v>135</v>
      </c>
      <c r="C31" s="13">
        <v>3</v>
      </c>
      <c r="D31" s="8" t="s">
        <v>136</v>
      </c>
    </row>
    <row r="32" spans="1:6" ht="26.1" customHeight="1" x14ac:dyDescent="0.25">
      <c r="A32" s="39" t="s">
        <v>137</v>
      </c>
      <c r="B32" s="39"/>
      <c r="C32" s="39"/>
      <c r="D32" s="39"/>
      <c r="E32" s="39"/>
      <c r="F32" s="39"/>
    </row>
    <row r="33" spans="1:6" ht="24" customHeight="1" x14ac:dyDescent="0.25">
      <c r="A33" s="9">
        <v>26</v>
      </c>
      <c r="B33" s="10" t="s">
        <v>138</v>
      </c>
      <c r="C33" s="14">
        <v>8</v>
      </c>
      <c r="D33" s="12" t="s">
        <v>139</v>
      </c>
    </row>
    <row r="34" spans="1:6" ht="24" customHeight="1" x14ac:dyDescent="0.25">
      <c r="A34" s="5">
        <v>27</v>
      </c>
      <c r="B34" s="6" t="s">
        <v>140</v>
      </c>
      <c r="C34" s="13">
        <v>15</v>
      </c>
      <c r="D34" s="8" t="s">
        <v>141</v>
      </c>
    </row>
    <row r="35" spans="1:6" ht="24" customHeight="1" x14ac:dyDescent="0.25">
      <c r="A35" s="9">
        <v>28</v>
      </c>
      <c r="B35" s="10" t="s">
        <v>142</v>
      </c>
      <c r="C35" s="14">
        <v>3</v>
      </c>
      <c r="D35" s="12" t="s">
        <v>143</v>
      </c>
    </row>
    <row r="36" spans="1:6" ht="24" customHeight="1" x14ac:dyDescent="0.25">
      <c r="A36" s="5">
        <v>29</v>
      </c>
      <c r="B36" s="6" t="s">
        <v>144</v>
      </c>
      <c r="C36" s="13">
        <v>4</v>
      </c>
      <c r="D36" s="8" t="s">
        <v>145</v>
      </c>
    </row>
    <row r="37" spans="1:6" ht="24" customHeight="1" x14ac:dyDescent="0.25">
      <c r="A37" s="9">
        <v>30</v>
      </c>
      <c r="B37" s="10" t="s">
        <v>146</v>
      </c>
      <c r="C37" s="14">
        <v>3</v>
      </c>
      <c r="D37" s="12" t="s">
        <v>147</v>
      </c>
    </row>
    <row r="38" spans="1:6" ht="26.1" customHeight="1" x14ac:dyDescent="0.25">
      <c r="A38" s="39" t="s">
        <v>148</v>
      </c>
      <c r="B38" s="39"/>
      <c r="C38" s="39"/>
      <c r="D38" s="39"/>
      <c r="E38" s="39"/>
      <c r="F38" s="39"/>
    </row>
    <row r="39" spans="1:6" ht="24" customHeight="1" x14ac:dyDescent="0.25">
      <c r="A39" s="5">
        <v>31</v>
      </c>
      <c r="B39" s="6" t="s">
        <v>149</v>
      </c>
      <c r="C39" s="13">
        <v>3</v>
      </c>
      <c r="D39" s="8" t="s">
        <v>3</v>
      </c>
    </row>
    <row r="40" spans="1:6" ht="24" customHeight="1" x14ac:dyDescent="0.25">
      <c r="A40" s="9">
        <v>32</v>
      </c>
      <c r="B40" s="10" t="s">
        <v>150</v>
      </c>
      <c r="C40" s="14">
        <v>1.5</v>
      </c>
      <c r="D40" s="12" t="s">
        <v>151</v>
      </c>
    </row>
    <row r="41" spans="1:6" ht="24" customHeight="1" x14ac:dyDescent="0.25">
      <c r="A41" s="5">
        <v>33</v>
      </c>
      <c r="B41" s="6" t="s">
        <v>152</v>
      </c>
      <c r="C41" s="13">
        <v>2</v>
      </c>
      <c r="D41" s="8" t="s">
        <v>153</v>
      </c>
    </row>
    <row r="42" spans="1:6" ht="26.1" customHeight="1" x14ac:dyDescent="0.25">
      <c r="A42" s="39" t="s">
        <v>154</v>
      </c>
      <c r="B42" s="39"/>
      <c r="C42" s="39"/>
      <c r="D42" s="39"/>
      <c r="E42" s="39"/>
      <c r="F42" s="39"/>
    </row>
    <row r="43" spans="1:6" ht="24" customHeight="1" x14ac:dyDescent="0.25">
      <c r="A43" s="9">
        <v>34</v>
      </c>
      <c r="B43" s="10" t="s">
        <v>155</v>
      </c>
      <c r="C43" s="14">
        <v>1.5</v>
      </c>
      <c r="D43" s="12" t="s">
        <v>156</v>
      </c>
    </row>
    <row r="44" spans="1:6" ht="24" customHeight="1" x14ac:dyDescent="0.25">
      <c r="A44" s="5">
        <v>35</v>
      </c>
      <c r="B44" s="6" t="s">
        <v>157</v>
      </c>
      <c r="C44" s="13">
        <v>3</v>
      </c>
      <c r="D44" s="8" t="s">
        <v>158</v>
      </c>
    </row>
    <row r="45" spans="1:6" ht="24" customHeight="1" x14ac:dyDescent="0.25">
      <c r="A45" s="9">
        <v>36</v>
      </c>
      <c r="B45" s="10" t="s">
        <v>159</v>
      </c>
      <c r="C45" s="14">
        <v>5</v>
      </c>
      <c r="D45" s="12" t="s">
        <v>160</v>
      </c>
    </row>
    <row r="46" spans="1:6" ht="24" customHeight="1" x14ac:dyDescent="0.25">
      <c r="A46" s="5">
        <v>37</v>
      </c>
      <c r="B46" s="6" t="s">
        <v>161</v>
      </c>
      <c r="C46" s="13">
        <v>2</v>
      </c>
      <c r="D46" s="8" t="s">
        <v>3</v>
      </c>
    </row>
    <row r="47" spans="1:6" ht="24" customHeight="1" x14ac:dyDescent="0.25">
      <c r="A47" s="9">
        <v>38</v>
      </c>
      <c r="B47" s="10" t="s">
        <v>162</v>
      </c>
      <c r="C47" s="14">
        <v>3</v>
      </c>
      <c r="D47" s="12" t="s">
        <v>163</v>
      </c>
    </row>
    <row r="48" spans="1:6" ht="26.1" customHeight="1" x14ac:dyDescent="0.25">
      <c r="A48" s="39" t="s">
        <v>164</v>
      </c>
      <c r="B48" s="39"/>
      <c r="C48" s="39"/>
      <c r="D48" s="39"/>
      <c r="E48" s="39"/>
      <c r="F48" s="39"/>
    </row>
    <row r="49" spans="1:6" ht="24" customHeight="1" x14ac:dyDescent="0.25">
      <c r="A49" s="5">
        <v>39</v>
      </c>
      <c r="B49" s="6" t="s">
        <v>165</v>
      </c>
      <c r="C49" s="13">
        <v>1.5</v>
      </c>
      <c r="D49" s="8" t="s">
        <v>3</v>
      </c>
    </row>
    <row r="50" spans="1:6" ht="24" customHeight="1" x14ac:dyDescent="0.25">
      <c r="A50" s="9">
        <v>40</v>
      </c>
      <c r="B50" s="10" t="s">
        <v>166</v>
      </c>
      <c r="C50" s="14">
        <v>1</v>
      </c>
      <c r="D50" s="12" t="s">
        <v>3</v>
      </c>
    </row>
    <row r="51" spans="1:6" ht="24" customHeight="1" x14ac:dyDescent="0.25">
      <c r="A51" s="5">
        <v>41</v>
      </c>
      <c r="B51" s="6" t="s">
        <v>167</v>
      </c>
      <c r="C51" s="13">
        <v>1.5</v>
      </c>
      <c r="D51" s="8" t="s">
        <v>168</v>
      </c>
    </row>
    <row r="52" spans="1:6" ht="24" customHeight="1" x14ac:dyDescent="0.25">
      <c r="A52" s="9">
        <v>42</v>
      </c>
      <c r="B52" s="10" t="s">
        <v>169</v>
      </c>
      <c r="C52" s="14">
        <v>0.5</v>
      </c>
      <c r="D52" s="12" t="s">
        <v>3</v>
      </c>
    </row>
    <row r="53" spans="1:6" ht="24" customHeight="1" x14ac:dyDescent="0.25">
      <c r="A53" s="5">
        <v>43</v>
      </c>
      <c r="B53" s="6" t="s">
        <v>170</v>
      </c>
      <c r="C53" s="13">
        <v>0.5</v>
      </c>
      <c r="D53" s="8" t="s">
        <v>3</v>
      </c>
    </row>
    <row r="54" spans="1:6" ht="24" customHeight="1" x14ac:dyDescent="0.25">
      <c r="A54" s="9">
        <v>44</v>
      </c>
      <c r="B54" s="10" t="s">
        <v>171</v>
      </c>
      <c r="C54" s="14">
        <v>0.5</v>
      </c>
      <c r="D54" s="12" t="s">
        <v>3</v>
      </c>
    </row>
    <row r="55" spans="1:6" ht="24" customHeight="1" x14ac:dyDescent="0.25">
      <c r="A55" s="5">
        <v>45</v>
      </c>
      <c r="B55" s="6" t="s">
        <v>172</v>
      </c>
      <c r="C55" s="13">
        <v>0</v>
      </c>
      <c r="D55" s="8" t="s">
        <v>173</v>
      </c>
    </row>
    <row r="56" spans="1:6" ht="24" customHeight="1" x14ac:dyDescent="0.25">
      <c r="A56" s="9">
        <v>46</v>
      </c>
      <c r="B56" s="10" t="s">
        <v>174</v>
      </c>
      <c r="C56" s="14">
        <v>3</v>
      </c>
      <c r="D56" s="12" t="s">
        <v>3</v>
      </c>
    </row>
    <row r="57" spans="1:6" ht="24" customHeight="1" x14ac:dyDescent="0.25">
      <c r="A57" s="5">
        <v>47</v>
      </c>
      <c r="B57" s="6" t="s">
        <v>175</v>
      </c>
      <c r="C57" s="13">
        <v>4</v>
      </c>
      <c r="D57" s="8" t="s">
        <v>176</v>
      </c>
    </row>
    <row r="58" spans="1:6" ht="24" customHeight="1" x14ac:dyDescent="0.25">
      <c r="A58" s="9">
        <v>48</v>
      </c>
      <c r="B58" s="10" t="s">
        <v>177</v>
      </c>
      <c r="C58" s="14">
        <v>1</v>
      </c>
      <c r="D58" s="12" t="s">
        <v>178</v>
      </c>
    </row>
    <row r="59" spans="1:6" ht="24" customHeight="1" x14ac:dyDescent="0.25">
      <c r="A59" s="5">
        <v>49</v>
      </c>
      <c r="B59" s="6" t="s">
        <v>179</v>
      </c>
      <c r="C59" s="13">
        <v>1</v>
      </c>
      <c r="D59" s="8" t="s">
        <v>3</v>
      </c>
    </row>
    <row r="60" spans="1:6" ht="26.1" customHeight="1" x14ac:dyDescent="0.25">
      <c r="A60" s="39" t="s">
        <v>180</v>
      </c>
      <c r="B60" s="39"/>
      <c r="C60" s="39"/>
      <c r="D60" s="39"/>
      <c r="E60" s="39"/>
      <c r="F60" s="39"/>
    </row>
    <row r="61" spans="1:6" ht="24" customHeight="1" x14ac:dyDescent="0.25">
      <c r="A61" s="9">
        <v>50</v>
      </c>
      <c r="B61" s="10" t="s">
        <v>181</v>
      </c>
      <c r="C61" s="14">
        <v>4</v>
      </c>
      <c r="D61" s="12" t="s">
        <v>182</v>
      </c>
    </row>
    <row r="62" spans="1:6" ht="24" customHeight="1" x14ac:dyDescent="0.25">
      <c r="A62" s="5">
        <v>51</v>
      </c>
      <c r="B62" s="6" t="s">
        <v>183</v>
      </c>
      <c r="C62" s="13">
        <v>1.5</v>
      </c>
      <c r="D62" s="8" t="s">
        <v>3</v>
      </c>
    </row>
    <row r="63" spans="1:6" ht="24" customHeight="1" x14ac:dyDescent="0.25">
      <c r="A63" s="9">
        <v>52</v>
      </c>
      <c r="B63" s="10" t="s">
        <v>184</v>
      </c>
      <c r="C63" s="14">
        <v>3</v>
      </c>
      <c r="D63" s="12" t="s">
        <v>185</v>
      </c>
    </row>
    <row r="64" spans="1:6" ht="24" customHeight="1" x14ac:dyDescent="0.25">
      <c r="A64" s="5">
        <v>53</v>
      </c>
      <c r="B64" s="6" t="s">
        <v>186</v>
      </c>
      <c r="C64" s="13">
        <v>3</v>
      </c>
      <c r="D64" s="8" t="s">
        <v>187</v>
      </c>
    </row>
    <row r="65" spans="1:6" ht="24" customHeight="1" x14ac:dyDescent="0.25">
      <c r="A65" s="9">
        <v>54</v>
      </c>
      <c r="B65" s="10" t="s">
        <v>188</v>
      </c>
      <c r="C65" s="14">
        <v>8</v>
      </c>
      <c r="D65" s="12" t="s">
        <v>189</v>
      </c>
    </row>
    <row r="66" spans="1:6" ht="24" customHeight="1" x14ac:dyDescent="0.25">
      <c r="A66" s="5">
        <v>55</v>
      </c>
      <c r="B66" s="6" t="s">
        <v>190</v>
      </c>
      <c r="C66" s="13">
        <v>2</v>
      </c>
      <c r="D66" s="8" t="s">
        <v>3</v>
      </c>
    </row>
    <row r="67" spans="1:6" ht="24" customHeight="1" x14ac:dyDescent="0.25">
      <c r="A67" s="9">
        <v>56</v>
      </c>
      <c r="B67" s="10" t="s">
        <v>191</v>
      </c>
      <c r="C67" s="14">
        <v>2</v>
      </c>
      <c r="D67" s="12" t="s">
        <v>192</v>
      </c>
    </row>
    <row r="68" spans="1:6" ht="24" customHeight="1" x14ac:dyDescent="0.25">
      <c r="A68" s="5">
        <v>57</v>
      </c>
      <c r="B68" s="6" t="s">
        <v>193</v>
      </c>
      <c r="C68" s="13">
        <v>1</v>
      </c>
      <c r="D68" s="8" t="s">
        <v>3</v>
      </c>
    </row>
    <row r="69" spans="1:6" ht="24" customHeight="1" x14ac:dyDescent="0.25">
      <c r="A69" s="9">
        <v>58</v>
      </c>
      <c r="B69" s="10" t="s">
        <v>194</v>
      </c>
      <c r="C69" s="14">
        <v>2</v>
      </c>
      <c r="D69" s="12" t="s">
        <v>3</v>
      </c>
    </row>
    <row r="70" spans="1:6" ht="24" customHeight="1" x14ac:dyDescent="0.25">
      <c r="A70" s="5">
        <v>59</v>
      </c>
      <c r="B70" s="6" t="s">
        <v>195</v>
      </c>
      <c r="C70" s="13">
        <v>1.5</v>
      </c>
      <c r="D70" s="8" t="s">
        <v>3</v>
      </c>
    </row>
    <row r="71" spans="1:6" ht="26.1" customHeight="1" x14ac:dyDescent="0.25">
      <c r="A71" s="39" t="s">
        <v>196</v>
      </c>
      <c r="B71" s="39"/>
      <c r="C71" s="39"/>
      <c r="D71" s="39"/>
      <c r="E71" s="39"/>
      <c r="F71" s="39"/>
    </row>
    <row r="72" spans="1:6" ht="24" customHeight="1" x14ac:dyDescent="0.25">
      <c r="A72" s="9">
        <v>60</v>
      </c>
      <c r="B72" s="10" t="s">
        <v>197</v>
      </c>
      <c r="C72" s="14">
        <v>0.5</v>
      </c>
      <c r="D72" s="12" t="s">
        <v>198</v>
      </c>
    </row>
    <row r="73" spans="1:6" ht="24" customHeight="1" x14ac:dyDescent="0.25">
      <c r="A73" s="5">
        <v>61</v>
      </c>
      <c r="B73" s="6" t="s">
        <v>199</v>
      </c>
      <c r="C73" s="13">
        <v>6</v>
      </c>
      <c r="D73" s="8" t="s">
        <v>3</v>
      </c>
    </row>
    <row r="74" spans="1:6" ht="24" customHeight="1" x14ac:dyDescent="0.25">
      <c r="A74" s="9">
        <v>62</v>
      </c>
      <c r="B74" s="10" t="s">
        <v>200</v>
      </c>
      <c r="C74" s="14">
        <v>3</v>
      </c>
      <c r="D74" s="12" t="s">
        <v>3</v>
      </c>
    </row>
    <row r="75" spans="1:6" ht="24" customHeight="1" x14ac:dyDescent="0.25">
      <c r="A75" s="5">
        <v>63</v>
      </c>
      <c r="B75" s="6" t="s">
        <v>201</v>
      </c>
      <c r="C75" s="13">
        <v>2</v>
      </c>
      <c r="D75" s="8" t="s">
        <v>3</v>
      </c>
    </row>
    <row r="77" spans="1:6" ht="27.95" customHeight="1" x14ac:dyDescent="0.25"/>
  </sheetData>
  <mergeCells count="10">
    <mergeCell ref="A1:D1"/>
    <mergeCell ref="A4:F4"/>
    <mergeCell ref="A14:F14"/>
    <mergeCell ref="A25:F25"/>
    <mergeCell ref="A32:F32"/>
    <mergeCell ref="A38:F38"/>
    <mergeCell ref="A42:F42"/>
    <mergeCell ref="A48:F48"/>
    <mergeCell ref="A60:F60"/>
    <mergeCell ref="A71:F7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📋 Thông Tin</vt:lpstr>
      <vt:lpstr>📊 Bảng Giá</vt:lpstr>
      <vt:lpstr>Landing Page</vt:lpstr>
      <vt:lpstr>Web Giới Thiệu</vt:lpstr>
      <vt:lpstr>Web Doanh Nghiệp</vt:lpstr>
      <vt:lpstr>E-commerce</vt:lpstr>
      <vt:lpstr>Web App</vt:lpstr>
      <vt:lpstr>Booking</vt:lpstr>
      <vt:lpstr>Blog - Tạp Chí</vt:lpstr>
      <vt:lpstr>Hệ Số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2026-03-19T08:24:13Z</dcterms:created>
  <dcterms:modified xsi:type="dcterms:W3CDTF">2026-03-19T09:49:50Z</dcterms:modified>
  <cp:category/>
</cp:coreProperties>
</file>